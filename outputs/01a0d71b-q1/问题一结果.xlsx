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b21b4a1904c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汇总" sheetId="1" r:id="R9b082821772e4a4b"/>
    <x:sheet xmlns:r="http://schemas.openxmlformats.org/officeDocument/2006/relationships" name="Q1_单点组批" sheetId="2" r:id="R4d866d775fbd454a"/>
    <x:sheet xmlns:r="http://schemas.openxmlformats.org/officeDocument/2006/relationships" name="最大安全载荷" sheetId="3" r:id="R7e8445bc43634f27"/>
    <x:sheet xmlns:r="http://schemas.openxmlformats.org/officeDocument/2006/relationships" name="目标与余量对照" sheetId="4" r:id="R06df95a0c5654dc9"/>
    <x:sheet xmlns:r="http://schemas.openxmlformats.org/officeDocument/2006/relationships" name="逐箱归属" sheetId="5" r:id="R857bc91b05e048ea"/>
    <x:sheet xmlns:r="http://schemas.openxmlformats.org/officeDocument/2006/relationships" name="逐区汇总" sheetId="6" r:id="Rb5b9eaea23074a09"/>
    <x:sheet xmlns:r="http://schemas.openxmlformats.org/officeDocument/2006/relationships" name="计算口径" sheetId="7" r:id="Rb19a8f862bc84e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.000"/>
    <x:numFmt numFmtId="202" formatCode="0.000000"/>
    <x:numFmt numFmtId="203" formatCode="0.0%"/>
    <x:numFmt numFmtId="204" formatCode="0.0000"/>
    <x:numFmt numFmtId="205" formatCode="0.0000%"/>
  </x:numFmts>
  <x:fonts count="5">
    <x:font>
      <x:sz val="11"/>
      <x:name val="Carlito"/>
    </x:font>
    <x:font>
      <x:sz val="10"/>
      <x:color rgb="FF203247"/>
      <x:name val="Microsoft YaHei"/>
    </x:font>
    <x:font>
      <x:b/>
      <x:sz val="10"/>
      <x:color rgb="FFFFFFFF"/>
      <x:name val="Microsoft YaHei"/>
    </x:font>
    <x:font>
      <x:b/>
      <x:sz val="16"/>
      <x:name val="Microsoft YaHei"/>
    </x:font>
    <x:font>
      <x:sz val="10"/>
      <x:color rgb="FF516276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84D65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204" fontId="1" fillId="0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4bc63d37704a80" /><Relationship Type="http://schemas.openxmlformats.org/officeDocument/2006/relationships/theme" Target="/xl/theme/theme1.xml" Id="R2098b222627f43cf" /><Relationship Type="http://schemas.openxmlformats.org/officeDocument/2006/relationships/sharedStrings" Target="/xl/sharedStrings.xml" Id="Rb8427486ed5b4631" /><Relationship Type="http://schemas.openxmlformats.org/officeDocument/2006/relationships/worksheet" Target="/xl/worksheets/sheet1.xml" Id="R9b082821772e4a4b" /><Relationship Type="http://schemas.openxmlformats.org/officeDocument/2006/relationships/worksheet" Target="/xl/worksheets/sheet2.xml" Id="R4d866d775fbd454a" /><Relationship Type="http://schemas.openxmlformats.org/officeDocument/2006/relationships/worksheet" Target="/xl/worksheets/sheet3.xml" Id="R7e8445bc43634f27" /><Relationship Type="http://schemas.openxmlformats.org/officeDocument/2006/relationships/worksheet" Target="/xl/worksheets/sheet4.xml" Id="R06df95a0c5654dc9" /><Relationship Type="http://schemas.openxmlformats.org/officeDocument/2006/relationships/worksheet" Target="/xl/worksheets/sheet5.xml" Id="R857bc91b05e048ea" /><Relationship Type="http://schemas.openxmlformats.org/officeDocument/2006/relationships/worksheet" Target="/xl/worksheets/sheet6.xml" Id="Rb5b9eaea23074a09" /><Relationship Type="http://schemas.openxmlformats.org/officeDocument/2006/relationships/worksheet" Target="/xl/worksheets/sheet7.xml" Id="Rb19a8f862bc84e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84D65"/>
  </x:sheetPr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6" hidden="0" customWidth="1"/>
  </x:cols>
  <x:sheetData>
    <x:row r="2">
      <x:c r="A2" s="16" t="str">
        <x:v>问题一求解结果</x:v>
      </x:c>
    </x:row>
    <x:row r="4" ht="40" customHeight="1">
      <x:c r="A4" s="6" t="str">
        <x:v>指标</x:v>
      </x:c>
      <x:c r="B4" s="6" t="str">
        <x:v>主方案数值</x:v>
      </x:c>
      <x:c r="C4" s="6" t="str">
        <x:v>单位</x:v>
      </x:c>
    </x:row>
    <x:row r="5" ht="24" customHeight="1">
      <x:c r="A5" s="2" t="str">
        <x:v>返航安全余量</x:v>
      </x:c>
      <x:c r="B5" s="17" t="n">
        <x:v>0.2</x:v>
      </x:c>
      <x:c r="C5" s="2" t="str">
        <x:v>比例</x:v>
      </x:c>
    </x:row>
    <x:row r="6" ht="24" customHeight="1">
      <x:c r="A6" s="7" t="str">
        <x:v>往返架次数</x:v>
      </x:c>
      <x:c r="B6" s="7" t="n">
        <x:f>COUNTA('Q1_单点组批'!A2:A19)</x:f>
        <x:v>18</x:v>
      </x:c>
      <x:c r="C6" s="7" t="str">
        <x:v>次</x:v>
      </x:c>
    </x:row>
    <x:row r="7" ht="24" customHeight="1">
      <x:c r="A7" s="2" t="str">
        <x:v>总运输能耗</x:v>
      </x:c>
      <x:c r="B7" s="14" t="n">
        <x:f>SUM('Q1_单点组批'!H2:H19)</x:f>
        <x:v>59.13226032709999</x:v>
      </x:c>
      <x:c r="C7" s="2" t="str">
        <x:v>kWh</x:v>
      </x:c>
    </x:row>
    <x:row r="8" ht="24" customHeight="1">
      <x:c r="A8" s="7" t="str">
        <x:v>累计作业时间</x:v>
      </x:c>
      <x:c r="B8" s="15" t="n">
        <x:f>SUM('Q1_单点组批'!G2:G19)</x:f>
        <x:v>32776.5167827441</x:v>
      </x:c>
      <x:c r="C8" s="7" t="str">
        <x:v>s</x:v>
      </x:c>
    </x:row>
    <x:row r="9" ht="24" customHeight="1">
      <x:c r="A9" s="2" t="str">
        <x:v>累计作业时间</x:v>
      </x:c>
      <x:c r="B9" s="14" t="n">
        <x:f>B8/3600</x:f>
        <x:v>9.104587995206693</x:v>
      </x:c>
      <x:c r="C9" s="2" t="str">
        <x:v>h</x:v>
      </x:c>
    </x:row>
    <x:row r="10" ht="24" customHeight="1">
      <x:c r="A10" s="7" t="str">
        <x:v>交付货箱</x:v>
      </x:c>
      <x:c r="B10" s="7" t="n">
        <x:f>COUNTA('逐箱归属'!A2:A81)</x:f>
        <x:v>80</x:v>
      </x:c>
      <x:c r="C10" s="7" t="str">
        <x:v>箱</x:v>
      </x:c>
    </x:row>
    <x:row r="11" ht="24" customHeight="1">
      <x:c r="A11" s="2" t="str">
        <x:v>总质量</x:v>
      </x:c>
      <x:c r="B11" s="2" t="n">
        <x:f>SUM('Q1_单点组批'!E2:E19)</x:f>
        <x:v>758</x:v>
      </x:c>
      <x:c r="C11" s="2" t="str">
        <x:v>kg</x:v>
      </x:c>
    </x:row>
    <x:row r="12" ht="24" customHeight="1">
      <x:c r="A12" s="7" t="str">
        <x:v>总体积</x:v>
      </x:c>
      <x:c r="B12" s="15" t="n">
        <x:f>SUM('Q1_单点组批'!F2:F19)</x:f>
        <x:v>2.0109999999999997</x:v>
      </x:c>
      <x:c r="C12" s="7" t="str">
        <x:v>m³</x:v>
      </x:c>
    </x:row>
    <x:row r="13" ht="24" customHeight="1">
      <x:c r="A13" s="2" t="str">
        <x:v>最低返航SOC</x:v>
      </x:c>
      <x:c r="B13" s="14" t="n">
        <x:f>MIN('Q1_单点组批'!I2:I19)</x:f>
        <x:v>23.0892483877</x:v>
      </x:c>
      <x:c r="C13" s="2" t="str">
        <x:v>%</x:v>
      </x:c>
    </x:row>
    <x:row r="14" ht="24" customHeight="1">
      <x:c r="A14" s="7" t="str">
        <x:v>B型使用架次</x:v>
      </x:c>
      <x:c r="B14" s="7" t="n">
        <x:f>COUNTIFS('Q1_单点组批'!C2:C19,"B")</x:f>
        <x:v>9</x:v>
      </x:c>
      <x:c r="C14" s="7" t="str">
        <x:v>次</x:v>
      </x:c>
    </x:row>
    <x:row r="15" ht="24" customHeight="1">
      <x:c r="A15" s="2" t="str">
        <x:v>C型使用架次</x:v>
      </x:c>
      <x:c r="B15" s="2" t="n">
        <x:f>COUNTIFS('Q1_单点组批'!C2:C19,"C")</x:f>
        <x:v>9</x:v>
      </x:c>
      <x:c r="C15" s="2" t="str">
        <x:v>次</x:v>
      </x:c>
    </x:row>
    <x:row r="16" ht="24" customHeight="1">
      <x:c r="A16" s="7" t="str">
        <x:v>独立核验通过项数</x:v>
      </x:c>
      <x:c r="B16" s="7" t="n">
        <x:v>105</x:v>
      </x:c>
      <x:c r="C16" s="7" t="str">
        <x:v>项</x:v>
      </x:c>
    </x:row>
    <x:row r="18">
      <x:c r="A18" s="18" t="str">
        <x:v>主目标：先最少架次，再最低能耗，最后最短累计作业时间。</x:v>
      </x:c>
      <x:c r="B18" s="18"/>
      <x:c r="C18" s="18"/>
    </x:row>
    <x:row r="19">
      <x:c r="A19" s="18" t="str">
        <x:v>累计作业时间包含准备、装载、飞行、交接，不是并行完工时间。</x:v>
      </x:c>
      <x:c r="B19" s="18"/>
      <x:c r="C19" s="18"/>
    </x:row>
    <x:row r="20">
      <x:c r="A20" s="18" t="str">
        <x:v>工作簿为求解结果快照；修改输入后需重新运行优化程序。</x:v>
      </x:c>
      <x:c r="B20" s="18"/>
      <x:c r="C20" s="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3ACB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60" hidden="0" customWidth="1"/>
    <x:col min="5" max="5" width="15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0" customHeight="1">
      <x:c r="A1" s="6" t="str">
        <x:v>架次编号</x:v>
      </x:c>
      <x:c r="B1" s="6" t="str">
        <x:v>服务区编号</x:v>
      </x:c>
      <x:c r="C1" s="6" t="str">
        <x:v>机型编号</x:v>
      </x:c>
      <x:c r="D1" s="6" t="str">
        <x:v>货箱编号列表</x:v>
      </x:c>
      <x:c r="E1" s="6" t="str">
        <x:v>总质量（kg）</x:v>
      </x:c>
      <x:c r="F1" s="6" t="str">
        <x:v>总体积（m³）</x:v>
      </x:c>
      <x:c r="G1" s="6" t="str">
        <x:v>往返时间（s）</x:v>
      </x:c>
      <x:c r="H1" s="6" t="str">
        <x:v>架次能耗（kWh）</x:v>
      </x:c>
      <x:c r="I1" s="6" t="str">
        <x:v>返航SOC（%）</x:v>
      </x:c>
    </x:row>
    <x:row r="2" ht="42" customHeight="1">
      <x:c r="A2" s="2" t="str">
        <x:v>Q1-001</x:v>
      </x:c>
      <x:c r="B2" s="2" t="str">
        <x:v>S001</x:v>
      </x:c>
      <x:c r="C2" s="2" t="str">
        <x:v>C</x:v>
      </x:c>
      <x:c r="D2" s="8" t="str">
        <x:v>S001-WAT-01; S001-WAT-02; S001-WAT-03;
S001-WAT-04; S001-WAT-05; S001-HYG-01</x:v>
      </x:c>
      <x:c r="E2" s="10" t="n">
        <x:v>76</x:v>
      </x:c>
      <x:c r="F2" s="12" t="n">
        <x:v>0.17</x:v>
      </x:c>
      <x:c r="G2" s="14" t="n">
        <x:v>1494.1750459223</x:v>
      </x:c>
      <x:c r="H2" s="14" t="n">
        <x:v>2.917588096</x:v>
      </x:c>
      <x:c r="I2" s="14" t="n">
        <x:v>63.5301487996</x:v>
      </x:c>
    </x:row>
    <x:row r="3" ht="59" customHeight="1">
      <x:c r="A3" s="7" t="str">
        <x:v>Q1-002</x:v>
      </x:c>
      <x:c r="B3" s="7" t="str">
        <x:v>S001</x:v>
      </x:c>
      <x:c r="C3" s="7" t="str">
        <x:v>C</x:v>
      </x:c>
      <x:c r="D3" s="9" t="str">
        <x:v>S001-MED-01; S001-MED-02; S001-WAT-06;
S001-WAT-07; S001-WAT-08; S001-FOD-01;
S001-FOD-02; S001-FOD-03; S001-HYG-02</x:v>
      </x:c>
      <x:c r="E3" s="11" t="n">
        <x:v>78</x:v>
      </x:c>
      <x:c r="F3" s="13" t="n">
        <x:v>0.224</x:v>
      </x:c>
      <x:c r="G3" s="15" t="n">
        <x:v>1692.1750459223</x:v>
      </x:c>
      <x:c r="H3" s="15" t="n">
        <x:v>2.9957758054</x:v>
      </x:c>
      <x:c r="I3" s="15" t="n">
        <x:v>62.552802433</x:v>
      </x:c>
    </x:row>
    <x:row r="4" ht="26" customHeight="1">
      <x:c r="A4" s="2" t="str">
        <x:v>Q1-003</x:v>
      </x:c>
      <x:c r="B4" s="2" t="str">
        <x:v>S002</x:v>
      </x:c>
      <x:c r="C4" s="2" t="str">
        <x:v>B</x:v>
      </x:c>
      <x:c r="D4" s="8" t="str">
        <x:v>S002-MED-01; S002-WAT-01; S002-FOD-01</x:v>
      </x:c>
      <x:c r="E4" s="10" t="n">
        <x:v>25</x:v>
      </x:c>
      <x:c r="F4" s="12" t="n">
        <x:v>0.067</x:v>
      </x:c>
      <x:c r="G4" s="14" t="n">
        <x:v>1816.7240813233</x:v>
      </x:c>
      <x:c r="H4" s="14" t="n">
        <x:v>2.7134729412</x:v>
      </x:c>
      <x:c r="I4" s="14" t="n">
        <x:v>32.1631764699</x:v>
      </x:c>
    </x:row>
    <x:row r="5" ht="42" customHeight="1">
      <x:c r="A5" s="7" t="str">
        <x:v>Q1-004</x:v>
      </x:c>
      <x:c r="B5" s="7" t="str">
        <x:v>S002</x:v>
      </x:c>
      <x:c r="C5" s="7" t="str">
        <x:v>C</x:v>
      </x:c>
      <x:c r="D5" s="9" t="str">
        <x:v>S002-WAT-02; S002-WAT-03; S002-WAT-04;
S002-FOD-02; S002-HYG-01</x:v>
      </x:c>
      <x:c r="E5" s="11" t="n">
        <x:v>56</x:v>
      </x:c>
      <x:c r="F5" s="13" t="n">
        <x:v>0.144</x:v>
      </x:c>
      <x:c r="G5" s="15" t="n">
        <x:v>2041.8421660483</x:v>
      </x:c>
      <x:c r="H5" s="15" t="n">
        <x:v>5.7213562039</x:v>
      </x:c>
      <x:c r="I5" s="15" t="n">
        <x:v>28.4830474518</x:v>
      </x:c>
    </x:row>
    <x:row r="6" ht="26" customHeight="1">
      <x:c r="A6" s="2" t="str">
        <x:v>Q1-005</x:v>
      </x:c>
      <x:c r="B6" s="2" t="str">
        <x:v>S003</x:v>
      </x:c>
      <x:c r="C6" s="2" t="str">
        <x:v>B</x:v>
      </x:c>
      <x:c r="D6" s="8" t="str">
        <x:v>S003-MED-01; S003-WAT-01; S003-FOD-01</x:v>
      </x:c>
      <x:c r="E6" s="10" t="n">
        <x:v>25</x:v>
      </x:c>
      <x:c r="F6" s="12" t="n">
        <x:v>0.067</x:v>
      </x:c>
      <x:c r="G6" s="14" t="n">
        <x:v>2080.6096650933</x:v>
      </x:c>
      <x:c r="H6" s="14" t="n">
        <x:v>2.7800780343</x:v>
      </x:c>
      <x:c r="I6" s="14" t="n">
        <x:v>30.4980491419</x:v>
      </x:c>
    </x:row>
    <x:row r="7" ht="42" customHeight="1">
      <x:c r="A7" s="7" t="str">
        <x:v>Q1-006</x:v>
      </x:c>
      <x:c r="B7" s="7" t="str">
        <x:v>S003</x:v>
      </x:c>
      <x:c r="C7" s="7" t="str">
        <x:v>C</x:v>
      </x:c>
      <x:c r="D7" s="9" t="str">
        <x:v>S003-WAT-02; S003-WAT-03; S003-WAT-04;
S003-FOD-02; S003-HYG-01</x:v>
      </x:c>
      <x:c r="E7" s="11" t="n">
        <x:v>56</x:v>
      </x:c>
      <x:c r="F7" s="13" t="n">
        <x:v>0.144</x:v>
      </x:c>
      <x:c r="G7" s="15" t="n">
        <x:v>2370.17771116</x:v>
      </x:c>
      <x:c r="H7" s="15" t="n">
        <x:v>5.7653646952</x:v>
      </x:c>
      <x:c r="I7" s="15" t="n">
        <x:v>27.9329413103</x:v>
      </x:c>
    </x:row>
    <x:row r="8" ht="42" customHeight="1">
      <x:c r="A8" s="2" t="str">
        <x:v>Q1-007</x:v>
      </x:c>
      <x:c r="B8" s="2" t="str">
        <x:v>S004</x:v>
      </x:c>
      <x:c r="C8" s="2" t="str">
        <x:v>C</x:v>
      </x:c>
      <x:c r="D8" s="8" t="str">
        <x:v>S004-MED-01; S004-WAT-01; S004-WAT-02;
S004-WAT-03; S004-FOD-01; S004-HYG-01</x:v>
      </x:c>
      <x:c r="E8" s="10" t="n">
        <x:v>59</x:v>
      </x:c>
      <x:c r="F8" s="12" t="n">
        <x:v>0.156</x:v>
      </x:c>
      <x:c r="G8" s="14" t="n">
        <x:v>2301.0547188067</x:v>
      </x:c>
      <x:c r="H8" s="14" t="n">
        <x:v>6.152860129</x:v>
      </x:c>
      <x:c r="I8" s="14" t="n">
        <x:v>23.0892483877</x:v>
      </x:c>
    </x:row>
    <x:row r="9" ht="42" customHeight="1">
      <x:c r="A9" s="7" t="str">
        <x:v>Q1-008</x:v>
      </x:c>
      <x:c r="B9" s="7" t="str">
        <x:v>S005</x:v>
      </x:c>
      <x:c r="C9" s="7" t="str">
        <x:v>C</x:v>
      </x:c>
      <x:c r="D9" s="9" t="str">
        <x:v>S005-MED-01; S005-WAT-01; S005-WAT-02;
S005-WAT-03; S005-FOD-01; S005-HYG-01</x:v>
      </x:c>
      <x:c r="E9" s="11" t="n">
        <x:v>59</x:v>
      </x:c>
      <x:c r="F9" s="13" t="n">
        <x:v>0.156</x:v>
      </x:c>
      <x:c r="G9" s="15" t="n">
        <x:v>1877.1887155267</x:v>
      </x:c>
      <x:c r="H9" s="15" t="n">
        <x:v>4.2221373734</x:v>
      </x:c>
      <x:c r="I9" s="15" t="n">
        <x:v>47.2232828328</x:v>
      </x:c>
    </x:row>
    <x:row r="10" ht="42" customHeight="1">
      <x:c r="A10" s="2" t="str">
        <x:v>Q1-009</x:v>
      </x:c>
      <x:c r="B10" s="2" t="str">
        <x:v>S006</x:v>
      </x:c>
      <x:c r="C10" s="2" t="str">
        <x:v>C</x:v>
      </x:c>
      <x:c r="D10" s="8" t="str">
        <x:v>S006-MED-01; S006-WAT-01; S006-WAT-02;
S006-WAT-03; S006-FOD-01; S006-HYG-01</x:v>
      </x:c>
      <x:c r="E10" s="10" t="n">
        <x:v>59</x:v>
      </x:c>
      <x:c r="F10" s="12" t="n">
        <x:v>0.156</x:v>
      </x:c>
      <x:c r="G10" s="14" t="n">
        <x:v>1561.552624484</x:v>
      </x:c>
      <x:c r="H10" s="14" t="n">
        <x:v>2.5979362902</x:v>
      </x:c>
      <x:c r="I10" s="14" t="n">
        <x:v>67.5257963726</x:v>
      </x:c>
    </x:row>
    <x:row r="11" ht="42" customHeight="1">
      <x:c r="A11" s="7" t="str">
        <x:v>Q1-010</x:v>
      </x:c>
      <x:c r="B11" s="7" t="str">
        <x:v>S007</x:v>
      </x:c>
      <x:c r="C11" s="7" t="str">
        <x:v>C</x:v>
      </x:c>
      <x:c r="D11" s="9" t="str">
        <x:v>S007-MED-01; S007-WAT-01; S007-WAT-02;
S007-FOD-01; S007-HYG-01</x:v>
      </x:c>
      <x:c r="E11" s="11" t="n">
        <x:v>45</x:v>
      </x:c>
      <x:c r="F11" s="13" t="n">
        <x:v>0.129</x:v>
      </x:c>
      <x:c r="G11" s="15" t="n">
        <x:v>1907.6006983333</x:v>
      </x:c>
      <x:c r="H11" s="15" t="n">
        <x:v>3.4110038085</x:v>
      </x:c>
      <x:c r="I11" s="15" t="n">
        <x:v>57.3624523942</x:v>
      </x:c>
    </x:row>
    <x:row r="12" ht="42" customHeight="1">
      <x:c r="A12" s="2" t="str">
        <x:v>Q1-011</x:v>
      </x:c>
      <x:c r="B12" s="2" t="str">
        <x:v>S008</x:v>
      </x:c>
      <x:c r="C12" s="2" t="str">
        <x:v>C</x:v>
      </x:c>
      <x:c r="D12" s="8" t="str">
        <x:v>S008-MED-01; S008-WAT-01; S008-WAT-02;
S008-FOD-01; S008-HYG-01</x:v>
      </x:c>
      <x:c r="E12" s="10" t="n">
        <x:v>45</x:v>
      </x:c>
      <x:c r="F12" s="12" t="n">
        <x:v>0.129</x:v>
      </x:c>
      <x:c r="G12" s="14" t="n">
        <x:v>2199.7115246733</x:v>
      </x:c>
      <x:c r="H12" s="14" t="n">
        <x:v>5.8360206681</x:v>
      </x:c>
      <x:c r="I12" s="14" t="n">
        <x:v>27.0497416483</x:v>
      </x:c>
    </x:row>
    <x:row r="13" ht="26" customHeight="1">
      <x:c r="A13" s="7" t="str">
        <x:v>Q1-012</x:v>
      </x:c>
      <x:c r="B13" s="7" t="str">
        <x:v>S009</x:v>
      </x:c>
      <x:c r="C13" s="7" t="str">
        <x:v>B</x:v>
      </x:c>
      <x:c r="D13" s="9" t="str">
        <x:v>S009-MED-01; S009-WAT-01; S009-FOD-01</x:v>
      </x:c>
      <x:c r="E13" s="11" t="n">
        <x:v>25</x:v>
      </x:c>
      <x:c r="F13" s="13" t="n">
        <x:v>0.067</x:v>
      </x:c>
      <x:c r="G13" s="15" t="n">
        <x:v>1558.4628644167</x:v>
      </x:c>
      <x:c r="H13" s="15" t="n">
        <x:v>2.0962654019</x:v>
      </x:c>
      <x:c r="I13" s="15" t="n">
        <x:v>47.5933649528</x:v>
      </x:c>
    </x:row>
    <x:row r="14" ht="26" customHeight="1">
      <x:c r="A14" s="2" t="str">
        <x:v>Q1-013</x:v>
      </x:c>
      <x:c r="B14" s="2" t="str">
        <x:v>S010</x:v>
      </x:c>
      <x:c r="C14" s="2" t="str">
        <x:v>B</x:v>
      </x:c>
      <x:c r="D14" s="8" t="str">
        <x:v>S010-MED-01; S010-WAT-01; S010-FOD-01</x:v>
      </x:c>
      <x:c r="E14" s="10" t="n">
        <x:v>25</x:v>
      </x:c>
      <x:c r="F14" s="12" t="n">
        <x:v>0.067</x:v>
      </x:c>
      <x:c r="G14" s="14" t="n">
        <x:v>1555.4035197093</x:v>
      </x:c>
      <x:c r="H14" s="14" t="n">
        <x:v>1.8232165641</x:v>
      </x:c>
      <x:c r="I14" s="14" t="n">
        <x:v>54.4195858969</x:v>
      </x:c>
    </x:row>
    <x:row r="15" ht="26" customHeight="1">
      <x:c r="A15" s="7" t="str">
        <x:v>Q1-014</x:v>
      </x:c>
      <x:c r="B15" s="7" t="str">
        <x:v>S011</x:v>
      </x:c>
      <x:c r="C15" s="7" t="str">
        <x:v>B</x:v>
      </x:c>
      <x:c r="D15" s="9" t="str">
        <x:v>S011-MED-01; S011-WAT-01; S011-FOD-01</x:v>
      </x:c>
      <x:c r="E15" s="11" t="n">
        <x:v>25</x:v>
      </x:c>
      <x:c r="F15" s="13" t="n">
        <x:v>0.067</x:v>
      </x:c>
      <x:c r="G15" s="15" t="n">
        <x:v>1188.4247628313</x:v>
      </x:c>
      <x:c r="H15" s="15" t="n">
        <x:v>1.0739366863</x:v>
      </x:c>
      <x:c r="I15" s="15" t="n">
        <x:v>73.1515828432</x:v>
      </x:c>
    </x:row>
    <x:row r="16" ht="26" customHeight="1">
      <x:c r="A16" s="2" t="str">
        <x:v>Q1-015</x:v>
      </x:c>
      <x:c r="B16" s="2" t="str">
        <x:v>S012</x:v>
      </x:c>
      <x:c r="C16" s="2" t="str">
        <x:v>B</x:v>
      </x:c>
      <x:c r="D16" s="8" t="str">
        <x:v>S012-MED-01; S012-WAT-01; S012-FOD-01</x:v>
      </x:c>
      <x:c r="E16" s="10" t="n">
        <x:v>25</x:v>
      </x:c>
      <x:c r="F16" s="12" t="n">
        <x:v>0.067</x:v>
      </x:c>
      <x:c r="G16" s="14" t="n">
        <x:v>1922.8268142533</x:v>
      </x:c>
      <x:c r="H16" s="14" t="n">
        <x:v>2.7525999545</x:v>
      </x:c>
      <x:c r="I16" s="14" t="n">
        <x:v>31.1850011381</x:v>
      </x:c>
    </x:row>
    <x:row r="17" ht="26" customHeight="1">
      <x:c r="A17" s="7" t="str">
        <x:v>Q1-016</x:v>
      </x:c>
      <x:c r="B17" s="7" t="str">
        <x:v>S013</x:v>
      </x:c>
      <x:c r="C17" s="7" t="str">
        <x:v>B</x:v>
      </x:c>
      <x:c r="D17" s="9" t="str">
        <x:v>S013-MED-01; S013-WAT-01; S013-FOD-01</x:v>
      </x:c>
      <x:c r="E17" s="11" t="n">
        <x:v>25</x:v>
      </x:c>
      <x:c r="F17" s="13" t="n">
        <x:v>0.067</x:v>
      </x:c>
      <x:c r="G17" s="15" t="n">
        <x:v>1510.511588782</x:v>
      </x:c>
      <x:c r="H17" s="15" t="n">
        <x:v>1.8248281912</x:v>
      </x:c>
      <x:c r="I17" s="15" t="n">
        <x:v>54.3792952192</x:v>
      </x:c>
    </x:row>
    <x:row r="18" ht="26" customHeight="1">
      <x:c r="A18" s="2" t="str">
        <x:v>Q1-017</x:v>
      </x:c>
      <x:c r="B18" s="2" t="str">
        <x:v>S014</x:v>
      </x:c>
      <x:c r="C18" s="2" t="str">
        <x:v>B</x:v>
      </x:c>
      <x:c r="D18" s="8" t="str">
        <x:v>S014-MED-01; S014-WAT-01; S014-FOD-01</x:v>
      </x:c>
      <x:c r="E18" s="10" t="n">
        <x:v>25</x:v>
      </x:c>
      <x:c r="F18" s="12" t="n">
        <x:v>0.067</x:v>
      </x:c>
      <x:c r="G18" s="14" t="n">
        <x:v>1869.7476752933</x:v>
      </x:c>
      <x:c r="H18" s="14" t="n">
        <x:v>2.1402909782</x:v>
      </x:c>
      <x:c r="I18" s="14" t="n">
        <x:v>46.4927255459</x:v>
      </x:c>
    </x:row>
    <x:row r="19" ht="26" customHeight="1">
      <x:c r="A19" s="7" t="str">
        <x:v>Q1-018</x:v>
      </x:c>
      <x:c r="B19" s="7" t="str">
        <x:v>S015</x:v>
      </x:c>
      <x:c r="C19" s="7" t="str">
        <x:v>B</x:v>
      </x:c>
      <x:c r="D19" s="9" t="str">
        <x:v>S015-MED-01; S015-WAT-01; S015-FOD-01</x:v>
      </x:c>
      <x:c r="E19" s="11" t="n">
        <x:v>25</x:v>
      </x:c>
      <x:c r="F19" s="13" t="n">
        <x:v>0.067</x:v>
      </x:c>
      <x:c r="G19" s="15" t="n">
        <x:v>1828.3275601647</x:v>
      </x:c>
      <x:c r="H19" s="15" t="n">
        <x:v>2.3075285057</x:v>
      </x:c>
      <x:c r="I19" s="15" t="n">
        <x:v>42.3117873579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3ACB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40" customHeight="1">
      <x:c r="A1" s="6" t="str">
        <x:v>服务区</x:v>
      </x:c>
      <x:c r="B1" s="6" t="str">
        <x:v>A型安全载荷/kg</x:v>
      </x:c>
      <x:c r="C1" s="6" t="str">
        <x:v>B型安全载荷/kg</x:v>
      </x:c>
      <x:c r="D1" s="6" t="str">
        <x:v>C型安全载荷/kg</x:v>
      </x:c>
    </x:row>
    <x:row r="2" ht="24" customHeight="1">
      <x:c r="A2" s="2" t="str">
        <x:v>S001</x:v>
      </x:c>
      <x:c r="B2" s="19" t="n">
        <x:v>25</x:v>
      </x:c>
      <x:c r="C2" s="19" t="n">
        <x:v>30</x:v>
      </x:c>
      <x:c r="D2" s="19" t="n">
        <x:v>80</x:v>
      </x:c>
    </x:row>
    <x:row r="3" ht="24" customHeight="1">
      <x:c r="A3" s="7" t="str">
        <x:v>S002</x:v>
      </x:c>
      <x:c r="B3" s="20" t="n">
        <x:v>25</x:v>
      </x:c>
      <x:c r="C3" s="20" t="n">
        <x:v>30</x:v>
      </x:c>
      <x:c r="D3" s="20" t="n">
        <x:v>68.8581041088</x:v>
      </x:c>
    </x:row>
    <x:row r="4" ht="24" customHeight="1">
      <x:c r="A4" s="2" t="str">
        <x:v>S003</x:v>
      </x:c>
      <x:c r="B4" s="19" t="n">
        <x:v>25</x:v>
      </x:c>
      <x:c r="C4" s="19" t="n">
        <x:v>30</x:v>
      </x:c>
      <x:c r="D4" s="19" t="n">
        <x:v>68.1995418428</x:v>
      </x:c>
    </x:row>
    <x:row r="5" ht="24" customHeight="1">
      <x:c r="A5" s="7" t="str">
        <x:v>S004</x:v>
      </x:c>
      <x:c r="B5" s="20" t="n">
        <x:v>25</x:v>
      </x:c>
      <x:c r="C5" s="20" t="n">
        <x:v>30</x:v>
      </x:c>
      <x:c r="D5" s="20" t="n">
        <x:v>63.6982509526</x:v>
      </x:c>
    </x:row>
    <x:row r="6" ht="24" customHeight="1">
      <x:c r="A6" s="2" t="str">
        <x:v>S005</x:v>
      </x:c>
      <x:c r="B6" s="19" t="n">
        <x:v>25</x:v>
      </x:c>
      <x:c r="C6" s="19" t="n">
        <x:v>30</x:v>
      </x:c>
      <x:c r="D6" s="19" t="n">
        <x:v>80</x:v>
      </x:c>
    </x:row>
    <x:row r="7" ht="24" customHeight="1">
      <x:c r="A7" s="7" t="str">
        <x:v>S006</x:v>
      </x:c>
      <x:c r="B7" s="20" t="n">
        <x:v>25</x:v>
      </x:c>
      <x:c r="C7" s="20" t="n">
        <x:v>30</x:v>
      </x:c>
      <x:c r="D7" s="20" t="n">
        <x:v>80</x:v>
      </x:c>
    </x:row>
    <x:row r="8" ht="24" customHeight="1">
      <x:c r="A8" s="2" t="str">
        <x:v>S007</x:v>
      </x:c>
      <x:c r="B8" s="19" t="n">
        <x:v>25</x:v>
      </x:c>
      <x:c r="C8" s="19" t="n">
        <x:v>30</x:v>
      </x:c>
      <x:c r="D8" s="19" t="n">
        <x:v>80</x:v>
      </x:c>
    </x:row>
    <x:row r="9" ht="24" customHeight="1">
      <x:c r="A9" s="7" t="str">
        <x:v>S008</x:v>
      </x:c>
      <x:c r="B9" s="20" t="n">
        <x:v>25</x:v>
      </x:c>
      <x:c r="C9" s="20" t="n">
        <x:v>28.8013603555</x:v>
      </x:c>
      <x:c r="D9" s="20" t="n">
        <x:v>58.9041660082</x:v>
      </x:c>
    </x:row>
    <x:row r="10" ht="24" customHeight="1">
      <x:c r="A10" s="2" t="str">
        <x:v>S009</x:v>
      </x:c>
      <x:c r="B10" s="19" t="n">
        <x:v>25</x:v>
      </x:c>
      <x:c r="C10" s="19" t="n">
        <x:v>30</x:v>
      </x:c>
      <x:c r="D10" s="19" t="n">
        <x:v>80</x:v>
      </x:c>
    </x:row>
    <x:row r="11" ht="24" customHeight="1">
      <x:c r="A11" s="7" t="str">
        <x:v>S010</x:v>
      </x:c>
      <x:c r="B11" s="20" t="n">
        <x:v>25</x:v>
      </x:c>
      <x:c r="C11" s="20" t="n">
        <x:v>30</x:v>
      </x:c>
      <x:c r="D11" s="20" t="n">
        <x:v>80</x:v>
      </x:c>
    </x:row>
    <x:row r="12" ht="24" customHeight="1">
      <x:c r="A12" s="2" t="str">
        <x:v>S011</x:v>
      </x:c>
      <x:c r="B12" s="19" t="n">
        <x:v>25</x:v>
      </x:c>
      <x:c r="C12" s="19" t="n">
        <x:v>30</x:v>
      </x:c>
      <x:c r="D12" s="19" t="n">
        <x:v>80</x:v>
      </x:c>
    </x:row>
    <x:row r="13" ht="24" customHeight="1">
      <x:c r="A13" s="7" t="str">
        <x:v>S012</x:v>
      </x:c>
      <x:c r="B13" s="20" t="n">
        <x:v>25</x:v>
      </x:c>
      <x:c r="C13" s="20" t="n">
        <x:v>30</x:v>
      </x:c>
      <x:c r="D13" s="20" t="n">
        <x:v>68.1097405421</x:v>
      </x:c>
    </x:row>
    <x:row r="14" ht="24" customHeight="1">
      <x:c r="A14" s="2" t="str">
        <x:v>S013</x:v>
      </x:c>
      <x:c r="B14" s="19" t="n">
        <x:v>25</x:v>
      </x:c>
      <x:c r="C14" s="19" t="n">
        <x:v>30</x:v>
      </x:c>
      <x:c r="D14" s="19" t="n">
        <x:v>80</x:v>
      </x:c>
    </x:row>
    <x:row r="15" ht="24" customHeight="1">
      <x:c r="A15" s="7" t="str">
        <x:v>S014</x:v>
      </x:c>
      <x:c r="B15" s="20" t="n">
        <x:v>25</x:v>
      </x:c>
      <x:c r="C15" s="20" t="n">
        <x:v>30</x:v>
      </x:c>
      <x:c r="D15" s="20" t="n">
        <x:v>80</x:v>
      </x:c>
    </x:row>
    <x:row r="16" ht="24" customHeight="1">
      <x:c r="A16" s="2" t="str">
        <x:v>S015</x:v>
      </x:c>
      <x:c r="B16" s="19" t="n">
        <x:v>25</x:v>
      </x:c>
      <x:c r="C16" s="19" t="n">
        <x:v>30</x:v>
      </x:c>
      <x:c r="D16" s="19" t="n">
        <x:v>80</x:v>
      </x:c>
    </x:row>
    <x:row r="18">
      <x:c r="A18" t="str">
        <x:v>安全余量20%；本表为质量—能量上限，装箱还须满足体积约束。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3ACBB"/>
  </x:sheetPr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20" hidden="0" customWidth="1"/>
    <x:col min="4" max="4" width="20" hidden="0" customWidth="1"/>
    <x:col min="5" max="5" width="18" hidden="0" customWidth="1"/>
    <x:col min="6" max="6" width="40" hidden="0" customWidth="1"/>
    <x:col min="7" max="7" width="12" hidden="0" customWidth="1"/>
  </x:cols>
  <x:sheetData>
    <x:row r="1" ht="40" customHeight="1">
      <x:c r="A1" s="6" t="str">
        <x:v>优先顺序</x:v>
      </x:c>
      <x:c r="B1" s="6" t="str">
        <x:v>架次</x:v>
      </x:c>
      <x:c r="C1" s="6" t="str">
        <x:v>能耗/kWh</x:v>
      </x:c>
      <x:c r="D1" s="6" t="str">
        <x:v>累计作业/h</x:v>
      </x:c>
      <x:c r="E1" s="6" t="str">
        <x:v>A架次</x:v>
      </x:c>
      <x:c r="F1" s="6" t="str">
        <x:v>B架次</x:v>
      </x:c>
      <x:c r="G1" s="6" t="str">
        <x:v>C架次</x:v>
      </x:c>
    </x:row>
    <x:row r="2" ht="24" customHeight="1">
      <x:c r="A2" s="2" t="str">
        <x:v>架次→能耗→时间（主方案）</x:v>
      </x:c>
      <x:c r="B2" s="2" t="n">
        <x:v>18</x:v>
      </x:c>
      <x:c r="C2" s="14" t="n">
        <x:v>59.1322603269</x:v>
      </x:c>
      <x:c r="D2" s="14" t="n">
        <x:v>9.1045879952</x:v>
      </x:c>
      <x:c r="E2" s="2" t="n">
        <x:v>0</x:v>
      </x:c>
      <x:c r="F2" s="2" t="n">
        <x:v>9</x:v>
      </x:c>
      <x:c r="G2" s="2" t="n">
        <x:v>9</x:v>
      </x:c>
    </x:row>
    <x:row r="3" ht="24" customHeight="1">
      <x:c r="A3" s="7" t="str">
        <x:v>能耗→架次→时间</x:v>
      </x:c>
      <x:c r="B3" s="7" t="n">
        <x:v>19</x:v>
      </x:c>
      <x:c r="C3" s="15" t="n">
        <x:v>59.0348777387</x:v>
      </x:c>
      <x:c r="D3" s="15" t="n">
        <x:v>9.5668024313</x:v>
      </x:c>
      <x:c r="E3" s="7" t="n">
        <x:v>0</x:v>
      </x:c>
      <x:c r="F3" s="7" t="n">
        <x:v>11</x:v>
      </x:c>
      <x:c r="G3" s="7" t="n">
        <x:v>8</x:v>
      </x:c>
    </x:row>
    <x:row r="4" ht="24" customHeight="1">
      <x:c r="A4" s="2" t="str">
        <x:v>时间→架次→能耗</x:v>
      </x:c>
      <x:c r="B4" s="2" t="n">
        <x:v>18</x:v>
      </x:c>
      <x:c r="C4" s="14" t="n">
        <x:v>59.1322603269</x:v>
      </x:c>
      <x:c r="D4" s="14" t="n">
        <x:v>9.1045879952</x:v>
      </x:c>
      <x:c r="E4" s="2" t="n">
        <x:v>0</x:v>
      </x:c>
      <x:c r="F4" s="2" t="n">
        <x:v>9</x:v>
      </x:c>
      <x:c r="G4" s="2" t="n">
        <x:v>9</x:v>
      </x:c>
    </x:row>
    <x:row r="5" ht="24" customHeight="1">
      <x:c r="A5" s="7" t="str">
        <x:v>架次→时间→能耗</x:v>
      </x:c>
      <x:c r="B5" s="7" t="n">
        <x:v>18</x:v>
      </x:c>
      <x:c r="C5" s="15" t="n">
        <x:v>59.1322603269</x:v>
      </x:c>
      <x:c r="D5" s="15" t="n">
        <x:v>9.1045879952</x:v>
      </x:c>
      <x:c r="E5" s="7" t="n">
        <x:v>0</x:v>
      </x:c>
      <x:c r="F5" s="7" t="n">
        <x:v>9</x:v>
      </x:c>
      <x:c r="G5" s="7" t="n">
        <x:v>9</x:v>
      </x:c>
    </x:row>
    <x:row r="8" ht="40" customHeight="1">
      <x:c r="A8" s="6" t="str">
        <x:v>安全余量</x:v>
      </x:c>
      <x:c r="B8" s="6" t="str">
        <x:v>全部可行</x:v>
      </x:c>
      <x:c r="C8" s="6" t="str">
        <x:v>架次</x:v>
      </x:c>
      <x:c r="D8" s="6" t="str">
        <x:v>能耗/kWh</x:v>
      </x:c>
      <x:c r="E8" s="6" t="str">
        <x:v>累计作业/h</x:v>
      </x:c>
      <x:c r="F8" s="6" t="str">
        <x:v>无法完成的服务区</x:v>
      </x:c>
    </x:row>
    <x:row r="9" ht="34" customHeight="1">
      <x:c r="A9" s="17" t="n">
        <x:v>0</x:v>
      </x:c>
      <x:c r="B9" s="2" t="str">
        <x:v>是</x:v>
      </x:c>
      <x:c r="C9" s="2" t="n">
        <x:v>18</x:v>
      </x:c>
      <x:c r="D9" s="14" t="n">
        <x:v>59.1322603269</x:v>
      </x:c>
      <x:c r="E9" s="14" t="n">
        <x:v>9.1045879952</x:v>
      </x:c>
      <x:c r="F9" s="8" t="str"/>
    </x:row>
    <x:row r="10" ht="34" customHeight="1">
      <x:c r="A10" s="21" t="n">
        <x:v>0.1</x:v>
      </x:c>
      <x:c r="B10" s="7" t="str">
        <x:v>是</x:v>
      </x:c>
      <x:c r="C10" s="7" t="n">
        <x:v>18</x:v>
      </x:c>
      <x:c r="D10" s="15" t="n">
        <x:v>59.1322603269</x:v>
      </x:c>
      <x:c r="E10" s="15" t="n">
        <x:v>9.1045879952</x:v>
      </x:c>
      <x:c r="F10" s="9" t="str"/>
    </x:row>
    <x:row r="11" ht="34" customHeight="1">
      <x:c r="A11" s="17" t="n">
        <x:v>0.15</x:v>
      </x:c>
      <x:c r="B11" s="2" t="str">
        <x:v>是</x:v>
      </x:c>
      <x:c r="C11" s="2" t="n">
        <x:v>18</x:v>
      </x:c>
      <x:c r="D11" s="14" t="n">
        <x:v>59.1322603269</x:v>
      </x:c>
      <x:c r="E11" s="14" t="n">
        <x:v>9.1045879952</x:v>
      </x:c>
      <x:c r="F11" s="8" t="str"/>
    </x:row>
    <x:row r="12" ht="34" customHeight="1">
      <x:c r="A12" s="21" t="n">
        <x:v>0.2</x:v>
      </x:c>
      <x:c r="B12" s="7" t="str">
        <x:v>是</x:v>
      </x:c>
      <x:c r="C12" s="7" t="n">
        <x:v>18</x:v>
      </x:c>
      <x:c r="D12" s="15" t="n">
        <x:v>59.1322603269</x:v>
      </x:c>
      <x:c r="E12" s="15" t="n">
        <x:v>9.1045879952</x:v>
      </x:c>
      <x:c r="F12" s="9" t="str"/>
    </x:row>
    <x:row r="13" ht="34" customHeight="1">
      <x:c r="A13" s="17" t="n">
        <x:v>0.225</x:v>
      </x:c>
      <x:c r="B13" s="2" t="str">
        <x:v>是</x:v>
      </x:c>
      <x:c r="C13" s="2" t="n">
        <x:v>18</x:v>
      </x:c>
      <x:c r="D13" s="14" t="n">
        <x:v>59.1322603269</x:v>
      </x:c>
      <x:c r="E13" s="14" t="n">
        <x:v>9.1045879952</x:v>
      </x:c>
      <x:c r="F13" s="8" t="str"/>
    </x:row>
    <x:row r="14" ht="34" customHeight="1">
      <x:c r="A14" s="21" t="n">
        <x:v>0.25</x:v>
      </x:c>
      <x:c r="B14" s="7" t="str">
        <x:v>是</x:v>
      </x:c>
      <x:c r="C14" s="7" t="n">
        <x:v>19</x:v>
      </x:c>
      <x:c r="D14" s="15" t="n">
        <x:v>61.0743111585</x:v>
      </x:c>
      <x:c r="E14" s="15" t="n">
        <x:v>9.6017106795</x:v>
      </x:c>
      <x:c r="F14" s="9" t="str"/>
    </x:row>
    <x:row r="15" ht="34" customHeight="1">
      <x:c r="A15" s="17" t="n">
        <x:v>0.275</x:v>
      </x:c>
      <x:c r="B15" s="2" t="str">
        <x:v>是</x:v>
      </x:c>
      <x:c r="C15" s="2" t="n">
        <x:v>20</x:v>
      </x:c>
      <x:c r="D15" s="14" t="n">
        <x:v>63.291051674</x:v>
      </x:c>
      <x:c r="E15" s="14" t="n">
        <x:v>10.093333387</x:v>
      </x:c>
      <x:c r="F15" s="8" t="str"/>
    </x:row>
    <x:row r="16" ht="34" customHeight="1">
      <x:c r="A16" s="21" t="n">
        <x:v>0.3</x:v>
      </x:c>
      <x:c r="B16" s="7" t="str">
        <x:v>是</x:v>
      </x:c>
      <x:c r="C16" s="7" t="n">
        <x:v>20</x:v>
      </x:c>
      <x:c r="D16" s="15" t="n">
        <x:v>67.2287315246</x:v>
      </x:c>
      <x:c r="E16" s="15" t="n">
        <x:v>10.1629684234</x:v>
      </x:c>
      <x:c r="F16" s="9" t="str"/>
    </x:row>
    <x:row r="17" ht="34" customHeight="1">
      <x:c r="A17" s="17" t="n">
        <x:v>0.325</x:v>
      </x:c>
      <x:c r="B17" s="2" t="str">
        <x:v>是</x:v>
      </x:c>
      <x:c r="C17" s="2" t="n">
        <x:v>20</x:v>
      </x:c>
      <x:c r="D17" s="14" t="n">
        <x:v>74.2946435718</x:v>
      </x:c>
      <x:c r="E17" s="14" t="n">
        <x:v>10.2555054135</x:v>
      </x:c>
      <x:c r="F17" s="8" t="str"/>
    </x:row>
    <x:row r="18" ht="34" customHeight="1">
      <x:c r="A18" s="21" t="n">
        <x:v>0.35</x:v>
      </x:c>
      <x:c r="B18" s="7" t="str">
        <x:v>是</x:v>
      </x:c>
      <x:c r="C18" s="7" t="n">
        <x:v>25</x:v>
      </x:c>
      <x:c r="D18" s="15" t="n">
        <x:v>75.6089291502</x:v>
      </x:c>
      <x:c r="E18" s="15" t="n">
        <x:v>12.6067243605</x:v>
      </x:c>
      <x:c r="F18" s="9" t="str"/>
    </x:row>
    <x:row r="19" ht="34" customHeight="1">
      <x:c r="A19" s="17" t="n">
        <x:v>0.375</x:v>
      </x:c>
      <x:c r="B19" s="2" t="str">
        <x:v>否</x:v>
      </x:c>
      <x:c r="C19" s="2"/>
      <x:c r="D19" s="14"/>
      <x:c r="E19" s="14"/>
      <x:c r="F19" s="8" t="str">
        <x:v>S008</x:v>
      </x:c>
    </x:row>
    <x:row r="20" ht="34" customHeight="1">
      <x:c r="A20" s="21" t="n">
        <x:v>0.4</x:v>
      </x:c>
      <x:c r="B20" s="7" t="str">
        <x:v>否</x:v>
      </x:c>
      <x:c r="C20" s="7"/>
      <x:c r="D20" s="15"/>
      <x:c r="E20" s="15"/>
      <x:c r="F20" s="9" t="str">
        <x:v>S004;S008</x:v>
      </x:c>
    </x:row>
    <x:row r="21" ht="34" customHeight="1">
      <x:c r="A21" s="17" t="n">
        <x:v>0.45</x:v>
      </x:c>
      <x:c r="B21" s="2" t="str">
        <x:v>否</x:v>
      </x:c>
      <x:c r="C21" s="2"/>
      <x:c r="D21" s="14"/>
      <x:c r="E21" s="14"/>
      <x:c r="F21" s="8" t="str">
        <x:v>S002;S003;S004;S008;S012</x:v>
      </x:c>
    </x:row>
    <x:row r="22" ht="34" customHeight="1">
      <x:c r="A22" s="21" t="n">
        <x:v>0.5</x:v>
      </x:c>
      <x:c r="B22" s="7" t="str">
        <x:v>否</x:v>
      </x:c>
      <x:c r="C22" s="7"/>
      <x:c r="D22" s="15"/>
      <x:c r="E22" s="15"/>
      <x:c r="F22" s="9" t="str">
        <x:v>S002;S003;S004;S008;S012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93ACB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4" hidden="0" customWidth="1"/>
  </x:cols>
  <x:sheetData>
    <x:row r="1" ht="40" customHeight="1">
      <x:c r="A1" s="6" t="str">
        <x:v>货箱编号</x:v>
      </x:c>
      <x:c r="B1" s="6" t="str">
        <x:v>架次编号</x:v>
      </x:c>
      <x:c r="C1" s="6" t="str">
        <x:v>服务区</x:v>
      </x:c>
      <x:c r="D1" s="6" t="str">
        <x:v>机型</x:v>
      </x:c>
    </x:row>
    <x:row r="2" ht="24" customHeight="1">
      <x:c r="A2" s="2" t="str">
        <x:v>S001-WAT-01</x:v>
      </x:c>
      <x:c r="B2" s="2" t="str">
        <x:v>Q1-001</x:v>
      </x:c>
      <x:c r="C2" s="2" t="str">
        <x:v>S001</x:v>
      </x:c>
      <x:c r="D2" s="2" t="str">
        <x:v>C</x:v>
      </x:c>
    </x:row>
    <x:row r="3" ht="24" customHeight="1">
      <x:c r="A3" s="7" t="str">
        <x:v>S001-WAT-02</x:v>
      </x:c>
      <x:c r="B3" s="7" t="str">
        <x:v>Q1-001</x:v>
      </x:c>
      <x:c r="C3" s="7" t="str">
        <x:v>S001</x:v>
      </x:c>
      <x:c r="D3" s="7" t="str">
        <x:v>C</x:v>
      </x:c>
    </x:row>
    <x:row r="4" ht="24" customHeight="1">
      <x:c r="A4" s="2" t="str">
        <x:v>S001-WAT-03</x:v>
      </x:c>
      <x:c r="B4" s="2" t="str">
        <x:v>Q1-001</x:v>
      </x:c>
      <x:c r="C4" s="2" t="str">
        <x:v>S001</x:v>
      </x:c>
      <x:c r="D4" s="2" t="str">
        <x:v>C</x:v>
      </x:c>
    </x:row>
    <x:row r="5" ht="24" customHeight="1">
      <x:c r="A5" s="7" t="str">
        <x:v>S001-WAT-04</x:v>
      </x:c>
      <x:c r="B5" s="7" t="str">
        <x:v>Q1-001</x:v>
      </x:c>
      <x:c r="C5" s="7" t="str">
        <x:v>S001</x:v>
      </x:c>
      <x:c r="D5" s="7" t="str">
        <x:v>C</x:v>
      </x:c>
    </x:row>
    <x:row r="6" ht="24" customHeight="1">
      <x:c r="A6" s="2" t="str">
        <x:v>S001-WAT-05</x:v>
      </x:c>
      <x:c r="B6" s="2" t="str">
        <x:v>Q1-001</x:v>
      </x:c>
      <x:c r="C6" s="2" t="str">
        <x:v>S001</x:v>
      </x:c>
      <x:c r="D6" s="2" t="str">
        <x:v>C</x:v>
      </x:c>
    </x:row>
    <x:row r="7" ht="24" customHeight="1">
      <x:c r="A7" s="7" t="str">
        <x:v>S001-HYG-01</x:v>
      </x:c>
      <x:c r="B7" s="7" t="str">
        <x:v>Q1-001</x:v>
      </x:c>
      <x:c r="C7" s="7" t="str">
        <x:v>S001</x:v>
      </x:c>
      <x:c r="D7" s="7" t="str">
        <x:v>C</x:v>
      </x:c>
    </x:row>
    <x:row r="8" ht="24" customHeight="1">
      <x:c r="A8" s="2" t="str">
        <x:v>S001-MED-01</x:v>
      </x:c>
      <x:c r="B8" s="2" t="str">
        <x:v>Q1-002</x:v>
      </x:c>
      <x:c r="C8" s="2" t="str">
        <x:v>S001</x:v>
      </x:c>
      <x:c r="D8" s="2" t="str">
        <x:v>C</x:v>
      </x:c>
    </x:row>
    <x:row r="9" ht="24" customHeight="1">
      <x:c r="A9" s="7" t="str">
        <x:v>S001-MED-02</x:v>
      </x:c>
      <x:c r="B9" s="7" t="str">
        <x:v>Q1-002</x:v>
      </x:c>
      <x:c r="C9" s="7" t="str">
        <x:v>S001</x:v>
      </x:c>
      <x:c r="D9" s="7" t="str">
        <x:v>C</x:v>
      </x:c>
    </x:row>
    <x:row r="10" ht="24" customHeight="1">
      <x:c r="A10" s="2" t="str">
        <x:v>S001-WAT-06</x:v>
      </x:c>
      <x:c r="B10" s="2" t="str">
        <x:v>Q1-002</x:v>
      </x:c>
      <x:c r="C10" s="2" t="str">
        <x:v>S001</x:v>
      </x:c>
      <x:c r="D10" s="2" t="str">
        <x:v>C</x:v>
      </x:c>
    </x:row>
    <x:row r="11" ht="24" customHeight="1">
      <x:c r="A11" s="7" t="str">
        <x:v>S001-WAT-07</x:v>
      </x:c>
      <x:c r="B11" s="7" t="str">
        <x:v>Q1-002</x:v>
      </x:c>
      <x:c r="C11" s="7" t="str">
        <x:v>S001</x:v>
      </x:c>
      <x:c r="D11" s="7" t="str">
        <x:v>C</x:v>
      </x:c>
    </x:row>
    <x:row r="12" ht="24" customHeight="1">
      <x:c r="A12" s="2" t="str">
        <x:v>S001-WAT-08</x:v>
      </x:c>
      <x:c r="B12" s="2" t="str">
        <x:v>Q1-002</x:v>
      </x:c>
      <x:c r="C12" s="2" t="str">
        <x:v>S001</x:v>
      </x:c>
      <x:c r="D12" s="2" t="str">
        <x:v>C</x:v>
      </x:c>
    </x:row>
    <x:row r="13" ht="24" customHeight="1">
      <x:c r="A13" s="7" t="str">
        <x:v>S001-FOD-01</x:v>
      </x:c>
      <x:c r="B13" s="7" t="str">
        <x:v>Q1-002</x:v>
      </x:c>
      <x:c r="C13" s="7" t="str">
        <x:v>S001</x:v>
      </x:c>
      <x:c r="D13" s="7" t="str">
        <x:v>C</x:v>
      </x:c>
    </x:row>
    <x:row r="14" ht="24" customHeight="1">
      <x:c r="A14" s="2" t="str">
        <x:v>S001-FOD-02</x:v>
      </x:c>
      <x:c r="B14" s="2" t="str">
        <x:v>Q1-002</x:v>
      </x:c>
      <x:c r="C14" s="2" t="str">
        <x:v>S001</x:v>
      </x:c>
      <x:c r="D14" s="2" t="str">
        <x:v>C</x:v>
      </x:c>
    </x:row>
    <x:row r="15" ht="24" customHeight="1">
      <x:c r="A15" s="7" t="str">
        <x:v>S001-FOD-03</x:v>
      </x:c>
      <x:c r="B15" s="7" t="str">
        <x:v>Q1-002</x:v>
      </x:c>
      <x:c r="C15" s="7" t="str">
        <x:v>S001</x:v>
      </x:c>
      <x:c r="D15" s="7" t="str">
        <x:v>C</x:v>
      </x:c>
    </x:row>
    <x:row r="16" ht="24" customHeight="1">
      <x:c r="A16" s="2" t="str">
        <x:v>S001-HYG-02</x:v>
      </x:c>
      <x:c r="B16" s="2" t="str">
        <x:v>Q1-002</x:v>
      </x:c>
      <x:c r="C16" s="2" t="str">
        <x:v>S001</x:v>
      </x:c>
      <x:c r="D16" s="2" t="str">
        <x:v>C</x:v>
      </x:c>
    </x:row>
    <x:row r="17" ht="24" customHeight="1">
      <x:c r="A17" s="7" t="str">
        <x:v>S002-MED-01</x:v>
      </x:c>
      <x:c r="B17" s="7" t="str">
        <x:v>Q1-003</x:v>
      </x:c>
      <x:c r="C17" s="7" t="str">
        <x:v>S002</x:v>
      </x:c>
      <x:c r="D17" s="7" t="str">
        <x:v>B</x:v>
      </x:c>
    </x:row>
    <x:row r="18" ht="24" customHeight="1">
      <x:c r="A18" s="2" t="str">
        <x:v>S002-WAT-01</x:v>
      </x:c>
      <x:c r="B18" s="2" t="str">
        <x:v>Q1-003</x:v>
      </x:c>
      <x:c r="C18" s="2" t="str">
        <x:v>S002</x:v>
      </x:c>
      <x:c r="D18" s="2" t="str">
        <x:v>B</x:v>
      </x:c>
    </x:row>
    <x:row r="19" ht="24" customHeight="1">
      <x:c r="A19" s="7" t="str">
        <x:v>S002-FOD-01</x:v>
      </x:c>
      <x:c r="B19" s="7" t="str">
        <x:v>Q1-003</x:v>
      </x:c>
      <x:c r="C19" s="7" t="str">
        <x:v>S002</x:v>
      </x:c>
      <x:c r="D19" s="7" t="str">
        <x:v>B</x:v>
      </x:c>
    </x:row>
    <x:row r="20" ht="24" customHeight="1">
      <x:c r="A20" s="2" t="str">
        <x:v>S002-WAT-02</x:v>
      </x:c>
      <x:c r="B20" s="2" t="str">
        <x:v>Q1-004</x:v>
      </x:c>
      <x:c r="C20" s="2" t="str">
        <x:v>S002</x:v>
      </x:c>
      <x:c r="D20" s="2" t="str">
        <x:v>C</x:v>
      </x:c>
    </x:row>
    <x:row r="21" ht="24" customHeight="1">
      <x:c r="A21" s="7" t="str">
        <x:v>S002-WAT-03</x:v>
      </x:c>
      <x:c r="B21" s="7" t="str">
        <x:v>Q1-004</x:v>
      </x:c>
      <x:c r="C21" s="7" t="str">
        <x:v>S002</x:v>
      </x:c>
      <x:c r="D21" s="7" t="str">
        <x:v>C</x:v>
      </x:c>
    </x:row>
    <x:row r="22" ht="24" customHeight="1">
      <x:c r="A22" s="2" t="str">
        <x:v>S002-WAT-04</x:v>
      </x:c>
      <x:c r="B22" s="2" t="str">
        <x:v>Q1-004</x:v>
      </x:c>
      <x:c r="C22" s="2" t="str">
        <x:v>S002</x:v>
      </x:c>
      <x:c r="D22" s="2" t="str">
        <x:v>C</x:v>
      </x:c>
    </x:row>
    <x:row r="23" ht="24" customHeight="1">
      <x:c r="A23" s="7" t="str">
        <x:v>S002-FOD-02</x:v>
      </x:c>
      <x:c r="B23" s="7" t="str">
        <x:v>Q1-004</x:v>
      </x:c>
      <x:c r="C23" s="7" t="str">
        <x:v>S002</x:v>
      </x:c>
      <x:c r="D23" s="7" t="str">
        <x:v>C</x:v>
      </x:c>
    </x:row>
    <x:row r="24" ht="24" customHeight="1">
      <x:c r="A24" s="2" t="str">
        <x:v>S002-HYG-01</x:v>
      </x:c>
      <x:c r="B24" s="2" t="str">
        <x:v>Q1-004</x:v>
      </x:c>
      <x:c r="C24" s="2" t="str">
        <x:v>S002</x:v>
      </x:c>
      <x:c r="D24" s="2" t="str">
        <x:v>C</x:v>
      </x:c>
    </x:row>
    <x:row r="25" ht="24" customHeight="1">
      <x:c r="A25" s="7" t="str">
        <x:v>S003-MED-01</x:v>
      </x:c>
      <x:c r="B25" s="7" t="str">
        <x:v>Q1-005</x:v>
      </x:c>
      <x:c r="C25" s="7" t="str">
        <x:v>S003</x:v>
      </x:c>
      <x:c r="D25" s="7" t="str">
        <x:v>B</x:v>
      </x:c>
    </x:row>
    <x:row r="26" ht="24" customHeight="1">
      <x:c r="A26" s="2" t="str">
        <x:v>S003-WAT-01</x:v>
      </x:c>
      <x:c r="B26" s="2" t="str">
        <x:v>Q1-005</x:v>
      </x:c>
      <x:c r="C26" s="2" t="str">
        <x:v>S003</x:v>
      </x:c>
      <x:c r="D26" s="2" t="str">
        <x:v>B</x:v>
      </x:c>
    </x:row>
    <x:row r="27" ht="24" customHeight="1">
      <x:c r="A27" s="7" t="str">
        <x:v>S003-FOD-01</x:v>
      </x:c>
      <x:c r="B27" s="7" t="str">
        <x:v>Q1-005</x:v>
      </x:c>
      <x:c r="C27" s="7" t="str">
        <x:v>S003</x:v>
      </x:c>
      <x:c r="D27" s="7" t="str">
        <x:v>B</x:v>
      </x:c>
    </x:row>
    <x:row r="28" ht="24" customHeight="1">
      <x:c r="A28" s="2" t="str">
        <x:v>S003-WAT-02</x:v>
      </x:c>
      <x:c r="B28" s="2" t="str">
        <x:v>Q1-006</x:v>
      </x:c>
      <x:c r="C28" s="2" t="str">
        <x:v>S003</x:v>
      </x:c>
      <x:c r="D28" s="2" t="str">
        <x:v>C</x:v>
      </x:c>
    </x:row>
    <x:row r="29" ht="24" customHeight="1">
      <x:c r="A29" s="7" t="str">
        <x:v>S003-WAT-03</x:v>
      </x:c>
      <x:c r="B29" s="7" t="str">
        <x:v>Q1-006</x:v>
      </x:c>
      <x:c r="C29" s="7" t="str">
        <x:v>S003</x:v>
      </x:c>
      <x:c r="D29" s="7" t="str">
        <x:v>C</x:v>
      </x:c>
    </x:row>
    <x:row r="30" ht="24" customHeight="1">
      <x:c r="A30" s="2" t="str">
        <x:v>S003-WAT-04</x:v>
      </x:c>
      <x:c r="B30" s="2" t="str">
        <x:v>Q1-006</x:v>
      </x:c>
      <x:c r="C30" s="2" t="str">
        <x:v>S003</x:v>
      </x:c>
      <x:c r="D30" s="2" t="str">
        <x:v>C</x:v>
      </x:c>
    </x:row>
    <x:row r="31" ht="24" customHeight="1">
      <x:c r="A31" s="7" t="str">
        <x:v>S003-FOD-02</x:v>
      </x:c>
      <x:c r="B31" s="7" t="str">
        <x:v>Q1-006</x:v>
      </x:c>
      <x:c r="C31" s="7" t="str">
        <x:v>S003</x:v>
      </x:c>
      <x:c r="D31" s="7" t="str">
        <x:v>C</x:v>
      </x:c>
    </x:row>
    <x:row r="32" ht="24" customHeight="1">
      <x:c r="A32" s="2" t="str">
        <x:v>S003-HYG-01</x:v>
      </x:c>
      <x:c r="B32" s="2" t="str">
        <x:v>Q1-006</x:v>
      </x:c>
      <x:c r="C32" s="2" t="str">
        <x:v>S003</x:v>
      </x:c>
      <x:c r="D32" s="2" t="str">
        <x:v>C</x:v>
      </x:c>
    </x:row>
    <x:row r="33" ht="24" customHeight="1">
      <x:c r="A33" s="7" t="str">
        <x:v>S004-MED-01</x:v>
      </x:c>
      <x:c r="B33" s="7" t="str">
        <x:v>Q1-007</x:v>
      </x:c>
      <x:c r="C33" s="7" t="str">
        <x:v>S004</x:v>
      </x:c>
      <x:c r="D33" s="7" t="str">
        <x:v>C</x:v>
      </x:c>
    </x:row>
    <x:row r="34" ht="24" customHeight="1">
      <x:c r="A34" s="2" t="str">
        <x:v>S004-WAT-01</x:v>
      </x:c>
      <x:c r="B34" s="2" t="str">
        <x:v>Q1-007</x:v>
      </x:c>
      <x:c r="C34" s="2" t="str">
        <x:v>S004</x:v>
      </x:c>
      <x:c r="D34" s="2" t="str">
        <x:v>C</x:v>
      </x:c>
    </x:row>
    <x:row r="35" ht="24" customHeight="1">
      <x:c r="A35" s="7" t="str">
        <x:v>S004-WAT-02</x:v>
      </x:c>
      <x:c r="B35" s="7" t="str">
        <x:v>Q1-007</x:v>
      </x:c>
      <x:c r="C35" s="7" t="str">
        <x:v>S004</x:v>
      </x:c>
      <x:c r="D35" s="7" t="str">
        <x:v>C</x:v>
      </x:c>
    </x:row>
    <x:row r="36" ht="24" customHeight="1">
      <x:c r="A36" s="2" t="str">
        <x:v>S004-WAT-03</x:v>
      </x:c>
      <x:c r="B36" s="2" t="str">
        <x:v>Q1-007</x:v>
      </x:c>
      <x:c r="C36" s="2" t="str">
        <x:v>S004</x:v>
      </x:c>
      <x:c r="D36" s="2" t="str">
        <x:v>C</x:v>
      </x:c>
    </x:row>
    <x:row r="37" ht="24" customHeight="1">
      <x:c r="A37" s="7" t="str">
        <x:v>S004-FOD-01</x:v>
      </x:c>
      <x:c r="B37" s="7" t="str">
        <x:v>Q1-007</x:v>
      </x:c>
      <x:c r="C37" s="7" t="str">
        <x:v>S004</x:v>
      </x:c>
      <x:c r="D37" s="7" t="str">
        <x:v>C</x:v>
      </x:c>
    </x:row>
    <x:row r="38" ht="24" customHeight="1">
      <x:c r="A38" s="2" t="str">
        <x:v>S004-HYG-01</x:v>
      </x:c>
      <x:c r="B38" s="2" t="str">
        <x:v>Q1-007</x:v>
      </x:c>
      <x:c r="C38" s="2" t="str">
        <x:v>S004</x:v>
      </x:c>
      <x:c r="D38" s="2" t="str">
        <x:v>C</x:v>
      </x:c>
    </x:row>
    <x:row r="39" ht="24" customHeight="1">
      <x:c r="A39" s="7" t="str">
        <x:v>S005-MED-01</x:v>
      </x:c>
      <x:c r="B39" s="7" t="str">
        <x:v>Q1-008</x:v>
      </x:c>
      <x:c r="C39" s="7" t="str">
        <x:v>S005</x:v>
      </x:c>
      <x:c r="D39" s="7" t="str">
        <x:v>C</x:v>
      </x:c>
    </x:row>
    <x:row r="40" ht="24" customHeight="1">
      <x:c r="A40" s="2" t="str">
        <x:v>S005-WAT-01</x:v>
      </x:c>
      <x:c r="B40" s="2" t="str">
        <x:v>Q1-008</x:v>
      </x:c>
      <x:c r="C40" s="2" t="str">
        <x:v>S005</x:v>
      </x:c>
      <x:c r="D40" s="2" t="str">
        <x:v>C</x:v>
      </x:c>
    </x:row>
    <x:row r="41" ht="24" customHeight="1">
      <x:c r="A41" s="7" t="str">
        <x:v>S005-WAT-02</x:v>
      </x:c>
      <x:c r="B41" s="7" t="str">
        <x:v>Q1-008</x:v>
      </x:c>
      <x:c r="C41" s="7" t="str">
        <x:v>S005</x:v>
      </x:c>
      <x:c r="D41" s="7" t="str">
        <x:v>C</x:v>
      </x:c>
    </x:row>
    <x:row r="42" ht="24" customHeight="1">
      <x:c r="A42" s="2" t="str">
        <x:v>S005-WAT-03</x:v>
      </x:c>
      <x:c r="B42" s="2" t="str">
        <x:v>Q1-008</x:v>
      </x:c>
      <x:c r="C42" s="2" t="str">
        <x:v>S005</x:v>
      </x:c>
      <x:c r="D42" s="2" t="str">
        <x:v>C</x:v>
      </x:c>
    </x:row>
    <x:row r="43" ht="24" customHeight="1">
      <x:c r="A43" s="7" t="str">
        <x:v>S005-FOD-01</x:v>
      </x:c>
      <x:c r="B43" s="7" t="str">
        <x:v>Q1-008</x:v>
      </x:c>
      <x:c r="C43" s="7" t="str">
        <x:v>S005</x:v>
      </x:c>
      <x:c r="D43" s="7" t="str">
        <x:v>C</x:v>
      </x:c>
    </x:row>
    <x:row r="44" ht="24" customHeight="1">
      <x:c r="A44" s="2" t="str">
        <x:v>S005-HYG-01</x:v>
      </x:c>
      <x:c r="B44" s="2" t="str">
        <x:v>Q1-008</x:v>
      </x:c>
      <x:c r="C44" s="2" t="str">
        <x:v>S005</x:v>
      </x:c>
      <x:c r="D44" s="2" t="str">
        <x:v>C</x:v>
      </x:c>
    </x:row>
    <x:row r="45" ht="24" customHeight="1">
      <x:c r="A45" s="7" t="str">
        <x:v>S006-MED-01</x:v>
      </x:c>
      <x:c r="B45" s="7" t="str">
        <x:v>Q1-009</x:v>
      </x:c>
      <x:c r="C45" s="7" t="str">
        <x:v>S006</x:v>
      </x:c>
      <x:c r="D45" s="7" t="str">
        <x:v>C</x:v>
      </x:c>
    </x:row>
    <x:row r="46" ht="24" customHeight="1">
      <x:c r="A46" s="2" t="str">
        <x:v>S006-WAT-01</x:v>
      </x:c>
      <x:c r="B46" s="2" t="str">
        <x:v>Q1-009</x:v>
      </x:c>
      <x:c r="C46" s="2" t="str">
        <x:v>S006</x:v>
      </x:c>
      <x:c r="D46" s="2" t="str">
        <x:v>C</x:v>
      </x:c>
    </x:row>
    <x:row r="47" ht="24" customHeight="1">
      <x:c r="A47" s="7" t="str">
        <x:v>S006-WAT-02</x:v>
      </x:c>
      <x:c r="B47" s="7" t="str">
        <x:v>Q1-009</x:v>
      </x:c>
      <x:c r="C47" s="7" t="str">
        <x:v>S006</x:v>
      </x:c>
      <x:c r="D47" s="7" t="str">
        <x:v>C</x:v>
      </x:c>
    </x:row>
    <x:row r="48" ht="24" customHeight="1">
      <x:c r="A48" s="2" t="str">
        <x:v>S006-WAT-03</x:v>
      </x:c>
      <x:c r="B48" s="2" t="str">
        <x:v>Q1-009</x:v>
      </x:c>
      <x:c r="C48" s="2" t="str">
        <x:v>S006</x:v>
      </x:c>
      <x:c r="D48" s="2" t="str">
        <x:v>C</x:v>
      </x:c>
    </x:row>
    <x:row r="49" ht="24" customHeight="1">
      <x:c r="A49" s="7" t="str">
        <x:v>S006-FOD-01</x:v>
      </x:c>
      <x:c r="B49" s="7" t="str">
        <x:v>Q1-009</x:v>
      </x:c>
      <x:c r="C49" s="7" t="str">
        <x:v>S006</x:v>
      </x:c>
      <x:c r="D49" s="7" t="str">
        <x:v>C</x:v>
      </x:c>
    </x:row>
    <x:row r="50" ht="24" customHeight="1">
      <x:c r="A50" s="2" t="str">
        <x:v>S006-HYG-01</x:v>
      </x:c>
      <x:c r="B50" s="2" t="str">
        <x:v>Q1-009</x:v>
      </x:c>
      <x:c r="C50" s="2" t="str">
        <x:v>S006</x:v>
      </x:c>
      <x:c r="D50" s="2" t="str">
        <x:v>C</x:v>
      </x:c>
    </x:row>
    <x:row r="51" ht="24" customHeight="1">
      <x:c r="A51" s="7" t="str">
        <x:v>S007-MED-01</x:v>
      </x:c>
      <x:c r="B51" s="7" t="str">
        <x:v>Q1-010</x:v>
      </x:c>
      <x:c r="C51" s="7" t="str">
        <x:v>S007</x:v>
      </x:c>
      <x:c r="D51" s="7" t="str">
        <x:v>C</x:v>
      </x:c>
    </x:row>
    <x:row r="52" ht="24" customHeight="1">
      <x:c r="A52" s="2" t="str">
        <x:v>S007-WAT-01</x:v>
      </x:c>
      <x:c r="B52" s="2" t="str">
        <x:v>Q1-010</x:v>
      </x:c>
      <x:c r="C52" s="2" t="str">
        <x:v>S007</x:v>
      </x:c>
      <x:c r="D52" s="2" t="str">
        <x:v>C</x:v>
      </x:c>
    </x:row>
    <x:row r="53" ht="24" customHeight="1">
      <x:c r="A53" s="7" t="str">
        <x:v>S007-WAT-02</x:v>
      </x:c>
      <x:c r="B53" s="7" t="str">
        <x:v>Q1-010</x:v>
      </x:c>
      <x:c r="C53" s="7" t="str">
        <x:v>S007</x:v>
      </x:c>
      <x:c r="D53" s="7" t="str">
        <x:v>C</x:v>
      </x:c>
    </x:row>
    <x:row r="54" ht="24" customHeight="1">
      <x:c r="A54" s="2" t="str">
        <x:v>S007-FOD-01</x:v>
      </x:c>
      <x:c r="B54" s="2" t="str">
        <x:v>Q1-010</x:v>
      </x:c>
      <x:c r="C54" s="2" t="str">
        <x:v>S007</x:v>
      </x:c>
      <x:c r="D54" s="2" t="str">
        <x:v>C</x:v>
      </x:c>
    </x:row>
    <x:row r="55" ht="24" customHeight="1">
      <x:c r="A55" s="7" t="str">
        <x:v>S007-HYG-01</x:v>
      </x:c>
      <x:c r="B55" s="7" t="str">
        <x:v>Q1-010</x:v>
      </x:c>
      <x:c r="C55" s="7" t="str">
        <x:v>S007</x:v>
      </x:c>
      <x:c r="D55" s="7" t="str">
        <x:v>C</x:v>
      </x:c>
    </x:row>
    <x:row r="56" ht="24" customHeight="1">
      <x:c r="A56" s="2" t="str">
        <x:v>S008-MED-01</x:v>
      </x:c>
      <x:c r="B56" s="2" t="str">
        <x:v>Q1-011</x:v>
      </x:c>
      <x:c r="C56" s="2" t="str">
        <x:v>S008</x:v>
      </x:c>
      <x:c r="D56" s="2" t="str">
        <x:v>C</x:v>
      </x:c>
    </x:row>
    <x:row r="57" ht="24" customHeight="1">
      <x:c r="A57" s="7" t="str">
        <x:v>S008-WAT-01</x:v>
      </x:c>
      <x:c r="B57" s="7" t="str">
        <x:v>Q1-011</x:v>
      </x:c>
      <x:c r="C57" s="7" t="str">
        <x:v>S008</x:v>
      </x:c>
      <x:c r="D57" s="7" t="str">
        <x:v>C</x:v>
      </x:c>
    </x:row>
    <x:row r="58" ht="24" customHeight="1">
      <x:c r="A58" s="2" t="str">
        <x:v>S008-WAT-02</x:v>
      </x:c>
      <x:c r="B58" s="2" t="str">
        <x:v>Q1-011</x:v>
      </x:c>
      <x:c r="C58" s="2" t="str">
        <x:v>S008</x:v>
      </x:c>
      <x:c r="D58" s="2" t="str">
        <x:v>C</x:v>
      </x:c>
    </x:row>
    <x:row r="59" ht="24" customHeight="1">
      <x:c r="A59" s="7" t="str">
        <x:v>S008-FOD-01</x:v>
      </x:c>
      <x:c r="B59" s="7" t="str">
        <x:v>Q1-011</x:v>
      </x:c>
      <x:c r="C59" s="7" t="str">
        <x:v>S008</x:v>
      </x:c>
      <x:c r="D59" s="7" t="str">
        <x:v>C</x:v>
      </x:c>
    </x:row>
    <x:row r="60" ht="24" customHeight="1">
      <x:c r="A60" s="2" t="str">
        <x:v>S008-HYG-01</x:v>
      </x:c>
      <x:c r="B60" s="2" t="str">
        <x:v>Q1-011</x:v>
      </x:c>
      <x:c r="C60" s="2" t="str">
        <x:v>S008</x:v>
      </x:c>
      <x:c r="D60" s="2" t="str">
        <x:v>C</x:v>
      </x:c>
    </x:row>
    <x:row r="61" ht="24" customHeight="1">
      <x:c r="A61" s="7" t="str">
        <x:v>S009-MED-01</x:v>
      </x:c>
      <x:c r="B61" s="7" t="str">
        <x:v>Q1-012</x:v>
      </x:c>
      <x:c r="C61" s="7" t="str">
        <x:v>S009</x:v>
      </x:c>
      <x:c r="D61" s="7" t="str">
        <x:v>B</x:v>
      </x:c>
    </x:row>
    <x:row r="62" ht="24" customHeight="1">
      <x:c r="A62" s="2" t="str">
        <x:v>S009-WAT-01</x:v>
      </x:c>
      <x:c r="B62" s="2" t="str">
        <x:v>Q1-012</x:v>
      </x:c>
      <x:c r="C62" s="2" t="str">
        <x:v>S009</x:v>
      </x:c>
      <x:c r="D62" s="2" t="str">
        <x:v>B</x:v>
      </x:c>
    </x:row>
    <x:row r="63" ht="24" customHeight="1">
      <x:c r="A63" s="7" t="str">
        <x:v>S009-FOD-01</x:v>
      </x:c>
      <x:c r="B63" s="7" t="str">
        <x:v>Q1-012</x:v>
      </x:c>
      <x:c r="C63" s="7" t="str">
        <x:v>S009</x:v>
      </x:c>
      <x:c r="D63" s="7" t="str">
        <x:v>B</x:v>
      </x:c>
    </x:row>
    <x:row r="64" ht="24" customHeight="1">
      <x:c r="A64" s="2" t="str">
        <x:v>S010-MED-01</x:v>
      </x:c>
      <x:c r="B64" s="2" t="str">
        <x:v>Q1-013</x:v>
      </x:c>
      <x:c r="C64" s="2" t="str">
        <x:v>S010</x:v>
      </x:c>
      <x:c r="D64" s="2" t="str">
        <x:v>B</x:v>
      </x:c>
    </x:row>
    <x:row r="65" ht="24" customHeight="1">
      <x:c r="A65" s="7" t="str">
        <x:v>S010-WAT-01</x:v>
      </x:c>
      <x:c r="B65" s="7" t="str">
        <x:v>Q1-013</x:v>
      </x:c>
      <x:c r="C65" s="7" t="str">
        <x:v>S010</x:v>
      </x:c>
      <x:c r="D65" s="7" t="str">
        <x:v>B</x:v>
      </x:c>
    </x:row>
    <x:row r="66" ht="24" customHeight="1">
      <x:c r="A66" s="2" t="str">
        <x:v>S010-FOD-01</x:v>
      </x:c>
      <x:c r="B66" s="2" t="str">
        <x:v>Q1-013</x:v>
      </x:c>
      <x:c r="C66" s="2" t="str">
        <x:v>S010</x:v>
      </x:c>
      <x:c r="D66" s="2" t="str">
        <x:v>B</x:v>
      </x:c>
    </x:row>
    <x:row r="67" ht="24" customHeight="1">
      <x:c r="A67" s="7" t="str">
        <x:v>S011-MED-01</x:v>
      </x:c>
      <x:c r="B67" s="7" t="str">
        <x:v>Q1-014</x:v>
      </x:c>
      <x:c r="C67" s="7" t="str">
        <x:v>S011</x:v>
      </x:c>
      <x:c r="D67" s="7" t="str">
        <x:v>B</x:v>
      </x:c>
    </x:row>
    <x:row r="68" ht="24" customHeight="1">
      <x:c r="A68" s="2" t="str">
        <x:v>S011-WAT-01</x:v>
      </x:c>
      <x:c r="B68" s="2" t="str">
        <x:v>Q1-014</x:v>
      </x:c>
      <x:c r="C68" s="2" t="str">
        <x:v>S011</x:v>
      </x:c>
      <x:c r="D68" s="2" t="str">
        <x:v>B</x:v>
      </x:c>
    </x:row>
    <x:row r="69" ht="24" customHeight="1">
      <x:c r="A69" s="7" t="str">
        <x:v>S011-FOD-01</x:v>
      </x:c>
      <x:c r="B69" s="7" t="str">
        <x:v>Q1-014</x:v>
      </x:c>
      <x:c r="C69" s="7" t="str">
        <x:v>S011</x:v>
      </x:c>
      <x:c r="D69" s="7" t="str">
        <x:v>B</x:v>
      </x:c>
    </x:row>
    <x:row r="70" ht="24" customHeight="1">
      <x:c r="A70" s="2" t="str">
        <x:v>S012-MED-01</x:v>
      </x:c>
      <x:c r="B70" s="2" t="str">
        <x:v>Q1-015</x:v>
      </x:c>
      <x:c r="C70" s="2" t="str">
        <x:v>S012</x:v>
      </x:c>
      <x:c r="D70" s="2" t="str">
        <x:v>B</x:v>
      </x:c>
    </x:row>
    <x:row r="71" ht="24" customHeight="1">
      <x:c r="A71" s="7" t="str">
        <x:v>S012-WAT-01</x:v>
      </x:c>
      <x:c r="B71" s="7" t="str">
        <x:v>Q1-015</x:v>
      </x:c>
      <x:c r="C71" s="7" t="str">
        <x:v>S012</x:v>
      </x:c>
      <x:c r="D71" s="7" t="str">
        <x:v>B</x:v>
      </x:c>
    </x:row>
    <x:row r="72" ht="24" customHeight="1">
      <x:c r="A72" s="2" t="str">
        <x:v>S012-FOD-01</x:v>
      </x:c>
      <x:c r="B72" s="2" t="str">
        <x:v>Q1-015</x:v>
      </x:c>
      <x:c r="C72" s="2" t="str">
        <x:v>S012</x:v>
      </x:c>
      <x:c r="D72" s="2" t="str">
        <x:v>B</x:v>
      </x:c>
    </x:row>
    <x:row r="73" ht="24" customHeight="1">
      <x:c r="A73" s="7" t="str">
        <x:v>S013-MED-01</x:v>
      </x:c>
      <x:c r="B73" s="7" t="str">
        <x:v>Q1-016</x:v>
      </x:c>
      <x:c r="C73" s="7" t="str">
        <x:v>S013</x:v>
      </x:c>
      <x:c r="D73" s="7" t="str">
        <x:v>B</x:v>
      </x:c>
    </x:row>
    <x:row r="74" ht="24" customHeight="1">
      <x:c r="A74" s="2" t="str">
        <x:v>S013-WAT-01</x:v>
      </x:c>
      <x:c r="B74" s="2" t="str">
        <x:v>Q1-016</x:v>
      </x:c>
      <x:c r="C74" s="2" t="str">
        <x:v>S013</x:v>
      </x:c>
      <x:c r="D74" s="2" t="str">
        <x:v>B</x:v>
      </x:c>
    </x:row>
    <x:row r="75" ht="24" customHeight="1">
      <x:c r="A75" s="7" t="str">
        <x:v>S013-FOD-01</x:v>
      </x:c>
      <x:c r="B75" s="7" t="str">
        <x:v>Q1-016</x:v>
      </x:c>
      <x:c r="C75" s="7" t="str">
        <x:v>S013</x:v>
      </x:c>
      <x:c r="D75" s="7" t="str">
        <x:v>B</x:v>
      </x:c>
    </x:row>
    <x:row r="76" ht="24" customHeight="1">
      <x:c r="A76" s="2" t="str">
        <x:v>S014-MED-01</x:v>
      </x:c>
      <x:c r="B76" s="2" t="str">
        <x:v>Q1-017</x:v>
      </x:c>
      <x:c r="C76" s="2" t="str">
        <x:v>S014</x:v>
      </x:c>
      <x:c r="D76" s="2" t="str">
        <x:v>B</x:v>
      </x:c>
    </x:row>
    <x:row r="77" ht="24" customHeight="1">
      <x:c r="A77" s="7" t="str">
        <x:v>S014-WAT-01</x:v>
      </x:c>
      <x:c r="B77" s="7" t="str">
        <x:v>Q1-017</x:v>
      </x:c>
      <x:c r="C77" s="7" t="str">
        <x:v>S014</x:v>
      </x:c>
      <x:c r="D77" s="7" t="str">
        <x:v>B</x:v>
      </x:c>
    </x:row>
    <x:row r="78" ht="24" customHeight="1">
      <x:c r="A78" s="2" t="str">
        <x:v>S014-FOD-01</x:v>
      </x:c>
      <x:c r="B78" s="2" t="str">
        <x:v>Q1-017</x:v>
      </x:c>
      <x:c r="C78" s="2" t="str">
        <x:v>S014</x:v>
      </x:c>
      <x:c r="D78" s="2" t="str">
        <x:v>B</x:v>
      </x:c>
    </x:row>
    <x:row r="79" ht="24" customHeight="1">
      <x:c r="A79" s="7" t="str">
        <x:v>S015-MED-01</x:v>
      </x:c>
      <x:c r="B79" s="7" t="str">
        <x:v>Q1-018</x:v>
      </x:c>
      <x:c r="C79" s="7" t="str">
        <x:v>S015</x:v>
      </x:c>
      <x:c r="D79" s="7" t="str">
        <x:v>B</x:v>
      </x:c>
    </x:row>
    <x:row r="80" ht="24" customHeight="1">
      <x:c r="A80" s="2" t="str">
        <x:v>S015-WAT-01</x:v>
      </x:c>
      <x:c r="B80" s="2" t="str">
        <x:v>Q1-018</x:v>
      </x:c>
      <x:c r="C80" s="2" t="str">
        <x:v>S015</x:v>
      </x:c>
      <x:c r="D80" s="2" t="str">
        <x:v>B</x:v>
      </x:c>
    </x:row>
    <x:row r="81" ht="24" customHeight="1">
      <x:c r="A81" s="7" t="str">
        <x:v>S015-FOD-01</x:v>
      </x:c>
      <x:c r="B81" s="7" t="str">
        <x:v>Q1-018</x:v>
      </x:c>
      <x:c r="C81" s="7" t="str">
        <x:v>S015</x:v>
      </x:c>
      <x:c r="D81" s="7" t="str">
        <x:v>B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93ACB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22" hidden="0" customWidth="1"/>
    <x:col min="5" max="5" width="16" hidden="0" customWidth="1"/>
    <x:col min="6" max="6" width="16" hidden="0" customWidth="1"/>
    <x:col min="7" max="7" width="12" hidden="0" customWidth="1"/>
    <x:col min="8" max="8" width="18" hidden="0" customWidth="1"/>
    <x:col min="9" max="9" width="16" hidden="0" customWidth="1"/>
  </x:cols>
  <x:sheetData>
    <x:row r="1" ht="40" customHeight="1">
      <x:c r="A1" s="6" t="str">
        <x:v>服务区</x:v>
      </x:c>
      <x:c r="B1" s="6" t="str">
        <x:v>架次</x:v>
      </x:c>
      <x:c r="C1" s="6" t="str">
        <x:v>能耗/kWh</x:v>
      </x:c>
      <x:c r="D1" s="6" t="str">
        <x:v>累计作业/s</x:v>
      </x:c>
      <x:c r="E1" s="6" t="str">
        <x:v>质量/kg</x:v>
      </x:c>
      <x:c r="F1" s="6" t="str">
        <x:v>体积/m³</x:v>
      </x:c>
      <x:c r="G1" s="6" t="str">
        <x:v>箱数</x:v>
      </x:c>
      <x:c r="H1" s="6" t="str">
        <x:v>最低SOC</x:v>
      </x:c>
      <x:c r="I1" s="6" t="str">
        <x:v>机型</x:v>
      </x:c>
    </x:row>
    <x:row r="2" ht="24" customHeight="1">
      <x:c r="A2" s="2" t="str">
        <x:v>S001</x:v>
      </x:c>
      <x:c r="B2" s="2" t="n">
        <x:v>2</x:v>
      </x:c>
      <x:c r="C2" s="14" t="n">
        <x:v>5.9133639014</x:v>
      </x:c>
      <x:c r="D2" s="14" t="n">
        <x:v>3186.3500918447</x:v>
      </x:c>
      <x:c r="E2" s="14" t="n">
        <x:v>154</x:v>
      </x:c>
      <x:c r="F2" s="14" t="n">
        <x:v>0.394</x:v>
      </x:c>
      <x:c r="G2" s="2" t="n">
        <x:v>15</x:v>
      </x:c>
      <x:c r="H2" s="22" t="n">
        <x:v>0.6255280243</x:v>
      </x:c>
      <x:c r="I2" s="2" t="str">
        <x:v>C,C</x:v>
      </x:c>
    </x:row>
    <x:row r="3" ht="24" customHeight="1">
      <x:c r="A3" s="7" t="str">
        <x:v>S002</x:v>
      </x:c>
      <x:c r="B3" s="7" t="n">
        <x:v>2</x:v>
      </x:c>
      <x:c r="C3" s="15" t="n">
        <x:v>8.4348291451</x:v>
      </x:c>
      <x:c r="D3" s="15" t="n">
        <x:v>3858.5662473717</x:v>
      </x:c>
      <x:c r="E3" s="15" t="n">
        <x:v>81</x:v>
      </x:c>
      <x:c r="F3" s="15" t="n">
        <x:v>0.211</x:v>
      </x:c>
      <x:c r="G3" s="7" t="n">
        <x:v>8</x:v>
      </x:c>
      <x:c r="H3" s="23" t="n">
        <x:v>0.2848304745</x:v>
      </x:c>
      <x:c r="I3" s="7" t="str">
        <x:v>B,C</x:v>
      </x:c>
    </x:row>
    <x:row r="4" ht="24" customHeight="1">
      <x:c r="A4" s="2" t="str">
        <x:v>S003</x:v>
      </x:c>
      <x:c r="B4" s="2" t="n">
        <x:v>2</x:v>
      </x:c>
      <x:c r="C4" s="14" t="n">
        <x:v>8.5454427295</x:v>
      </x:c>
      <x:c r="D4" s="14" t="n">
        <x:v>4450.7873762533</x:v>
      </x:c>
      <x:c r="E4" s="14" t="n">
        <x:v>81</x:v>
      </x:c>
      <x:c r="F4" s="14" t="n">
        <x:v>0.211</x:v>
      </x:c>
      <x:c r="G4" s="2" t="n">
        <x:v>8</x:v>
      </x:c>
      <x:c r="H4" s="22" t="n">
        <x:v>0.2793294131</x:v>
      </x:c>
      <x:c r="I4" s="2" t="str">
        <x:v>B,C</x:v>
      </x:c>
    </x:row>
    <x:row r="5" ht="24" customHeight="1">
      <x:c r="A5" s="7" t="str">
        <x:v>S004</x:v>
      </x:c>
      <x:c r="B5" s="7" t="n">
        <x:v>1</x:v>
      </x:c>
      <x:c r="C5" s="15" t="n">
        <x:v>6.152860129</x:v>
      </x:c>
      <x:c r="D5" s="15" t="n">
        <x:v>2301.0547188067</x:v>
      </x:c>
      <x:c r="E5" s="15" t="n">
        <x:v>59</x:v>
      </x:c>
      <x:c r="F5" s="15" t="n">
        <x:v>0.156</x:v>
      </x:c>
      <x:c r="G5" s="7" t="n">
        <x:v>6</x:v>
      </x:c>
      <x:c r="H5" s="23" t="n">
        <x:v>0.2308924839</x:v>
      </x:c>
      <x:c r="I5" s="7" t="str">
        <x:v>C</x:v>
      </x:c>
    </x:row>
    <x:row r="6" ht="24" customHeight="1">
      <x:c r="A6" s="2" t="str">
        <x:v>S005</x:v>
      </x:c>
      <x:c r="B6" s="2" t="n">
        <x:v>1</x:v>
      </x:c>
      <x:c r="C6" s="14" t="n">
        <x:v>4.2221373734</x:v>
      </x:c>
      <x:c r="D6" s="14" t="n">
        <x:v>1877.1887155267</x:v>
      </x:c>
      <x:c r="E6" s="14" t="n">
        <x:v>59</x:v>
      </x:c>
      <x:c r="F6" s="14" t="n">
        <x:v>0.156</x:v>
      </x:c>
      <x:c r="G6" s="2" t="n">
        <x:v>6</x:v>
      </x:c>
      <x:c r="H6" s="22" t="n">
        <x:v>0.4722328283</x:v>
      </x:c>
      <x:c r="I6" s="2" t="str">
        <x:v>C</x:v>
      </x:c>
    </x:row>
    <x:row r="7" ht="24" customHeight="1">
      <x:c r="A7" s="7" t="str">
        <x:v>S006</x:v>
      </x:c>
      <x:c r="B7" s="7" t="n">
        <x:v>1</x:v>
      </x:c>
      <x:c r="C7" s="15" t="n">
        <x:v>2.5979362902</x:v>
      </x:c>
      <x:c r="D7" s="15" t="n">
        <x:v>1561.552624484</x:v>
      </x:c>
      <x:c r="E7" s="15" t="n">
        <x:v>59</x:v>
      </x:c>
      <x:c r="F7" s="15" t="n">
        <x:v>0.156</x:v>
      </x:c>
      <x:c r="G7" s="7" t="n">
        <x:v>6</x:v>
      </x:c>
      <x:c r="H7" s="23" t="n">
        <x:v>0.6752579637</x:v>
      </x:c>
      <x:c r="I7" s="7" t="str">
        <x:v>C</x:v>
      </x:c>
    </x:row>
    <x:row r="8" ht="24" customHeight="1">
      <x:c r="A8" s="2" t="str">
        <x:v>S007</x:v>
      </x:c>
      <x:c r="B8" s="2" t="n">
        <x:v>1</x:v>
      </x:c>
      <x:c r="C8" s="14" t="n">
        <x:v>3.4110038085</x:v>
      </x:c>
      <x:c r="D8" s="14" t="n">
        <x:v>1907.6006983333</x:v>
      </x:c>
      <x:c r="E8" s="14" t="n">
        <x:v>45</x:v>
      </x:c>
      <x:c r="F8" s="14" t="n">
        <x:v>0.129</x:v>
      </x:c>
      <x:c r="G8" s="2" t="n">
        <x:v>5</x:v>
      </x:c>
      <x:c r="H8" s="22" t="n">
        <x:v>0.5736245239</x:v>
      </x:c>
      <x:c r="I8" s="2" t="str">
        <x:v>C</x:v>
      </x:c>
    </x:row>
    <x:row r="9" ht="24" customHeight="1">
      <x:c r="A9" s="7" t="str">
        <x:v>S008</x:v>
      </x:c>
      <x:c r="B9" s="7" t="n">
        <x:v>1</x:v>
      </x:c>
      <x:c r="C9" s="15" t="n">
        <x:v>5.8360206681</x:v>
      </x:c>
      <x:c r="D9" s="15" t="n">
        <x:v>2199.7115246733</x:v>
      </x:c>
      <x:c r="E9" s="15" t="n">
        <x:v>45</x:v>
      </x:c>
      <x:c r="F9" s="15" t="n">
        <x:v>0.129</x:v>
      </x:c>
      <x:c r="G9" s="7" t="n">
        <x:v>5</x:v>
      </x:c>
      <x:c r="H9" s="23" t="n">
        <x:v>0.2704974165</x:v>
      </x:c>
      <x:c r="I9" s="7" t="str">
        <x:v>C</x:v>
      </x:c>
    </x:row>
    <x:row r="10" ht="24" customHeight="1">
      <x:c r="A10" s="2" t="str">
        <x:v>S009</x:v>
      </x:c>
      <x:c r="B10" s="2" t="n">
        <x:v>1</x:v>
      </x:c>
      <x:c r="C10" s="14" t="n">
        <x:v>2.0962654019</x:v>
      </x:c>
      <x:c r="D10" s="14" t="n">
        <x:v>1558.4628644167</x:v>
      </x:c>
      <x:c r="E10" s="14" t="n">
        <x:v>25</x:v>
      </x:c>
      <x:c r="F10" s="14" t="n">
        <x:v>0.067</x:v>
      </x:c>
      <x:c r="G10" s="2" t="n">
        <x:v>3</x:v>
      </x:c>
      <x:c r="H10" s="22" t="n">
        <x:v>0.4759336495</x:v>
      </x:c>
      <x:c r="I10" s="2" t="str">
        <x:v>B</x:v>
      </x:c>
    </x:row>
    <x:row r="11" ht="24" customHeight="1">
      <x:c r="A11" s="7" t="str">
        <x:v>S010</x:v>
      </x:c>
      <x:c r="B11" s="7" t="n">
        <x:v>1</x:v>
      </x:c>
      <x:c r="C11" s="15" t="n">
        <x:v>1.8232165641</x:v>
      </x:c>
      <x:c r="D11" s="15" t="n">
        <x:v>1555.4035197093</x:v>
      </x:c>
      <x:c r="E11" s="15" t="n">
        <x:v>25</x:v>
      </x:c>
      <x:c r="F11" s="15" t="n">
        <x:v>0.067</x:v>
      </x:c>
      <x:c r="G11" s="7" t="n">
        <x:v>3</x:v>
      </x:c>
      <x:c r="H11" s="23" t="n">
        <x:v>0.544195859</x:v>
      </x:c>
      <x:c r="I11" s="7" t="str">
        <x:v>B</x:v>
      </x:c>
    </x:row>
    <x:row r="12" ht="24" customHeight="1">
      <x:c r="A12" s="2" t="str">
        <x:v>S011</x:v>
      </x:c>
      <x:c r="B12" s="2" t="n">
        <x:v>1</x:v>
      </x:c>
      <x:c r="C12" s="14" t="n">
        <x:v>1.0739366863</x:v>
      </x:c>
      <x:c r="D12" s="14" t="n">
        <x:v>1188.4247628313</x:v>
      </x:c>
      <x:c r="E12" s="14" t="n">
        <x:v>25</x:v>
      </x:c>
      <x:c r="F12" s="14" t="n">
        <x:v>0.067</x:v>
      </x:c>
      <x:c r="G12" s="2" t="n">
        <x:v>3</x:v>
      </x:c>
      <x:c r="H12" s="22" t="n">
        <x:v>0.7315158284</x:v>
      </x:c>
      <x:c r="I12" s="2" t="str">
        <x:v>B</x:v>
      </x:c>
    </x:row>
    <x:row r="13" ht="24" customHeight="1">
      <x:c r="A13" s="7" t="str">
        <x:v>S012</x:v>
      </x:c>
      <x:c r="B13" s="7" t="n">
        <x:v>1</x:v>
      </x:c>
      <x:c r="C13" s="15" t="n">
        <x:v>2.7525999545</x:v>
      </x:c>
      <x:c r="D13" s="15" t="n">
        <x:v>1922.8268142533</x:v>
      </x:c>
      <x:c r="E13" s="15" t="n">
        <x:v>25</x:v>
      </x:c>
      <x:c r="F13" s="15" t="n">
        <x:v>0.067</x:v>
      </x:c>
      <x:c r="G13" s="7" t="n">
        <x:v>3</x:v>
      </x:c>
      <x:c r="H13" s="23" t="n">
        <x:v>0.3118500114</x:v>
      </x:c>
      <x:c r="I13" s="7" t="str">
        <x:v>B</x:v>
      </x:c>
    </x:row>
    <x:row r="14" ht="24" customHeight="1">
      <x:c r="A14" s="2" t="str">
        <x:v>S013</x:v>
      </x:c>
      <x:c r="B14" s="2" t="n">
        <x:v>1</x:v>
      </x:c>
      <x:c r="C14" s="14" t="n">
        <x:v>1.8248281912</x:v>
      </x:c>
      <x:c r="D14" s="14" t="n">
        <x:v>1510.511588782</x:v>
      </x:c>
      <x:c r="E14" s="14" t="n">
        <x:v>25</x:v>
      </x:c>
      <x:c r="F14" s="14" t="n">
        <x:v>0.067</x:v>
      </x:c>
      <x:c r="G14" s="2" t="n">
        <x:v>3</x:v>
      </x:c>
      <x:c r="H14" s="22" t="n">
        <x:v>0.5437929522</x:v>
      </x:c>
      <x:c r="I14" s="2" t="str">
        <x:v>B</x:v>
      </x:c>
    </x:row>
    <x:row r="15" ht="24" customHeight="1">
      <x:c r="A15" s="7" t="str">
        <x:v>S014</x:v>
      </x:c>
      <x:c r="B15" s="7" t="n">
        <x:v>1</x:v>
      </x:c>
      <x:c r="C15" s="15" t="n">
        <x:v>2.1402909782</x:v>
      </x:c>
      <x:c r="D15" s="15" t="n">
        <x:v>1869.7476752933</x:v>
      </x:c>
      <x:c r="E15" s="15" t="n">
        <x:v>25</x:v>
      </x:c>
      <x:c r="F15" s="15" t="n">
        <x:v>0.067</x:v>
      </x:c>
      <x:c r="G15" s="7" t="n">
        <x:v>3</x:v>
      </x:c>
      <x:c r="H15" s="23" t="n">
        <x:v>0.4649272555</x:v>
      </x:c>
      <x:c r="I15" s="7" t="str">
        <x:v>B</x:v>
      </x:c>
    </x:row>
    <x:row r="16" ht="24" customHeight="1">
      <x:c r="A16" s="2" t="str">
        <x:v>S015</x:v>
      </x:c>
      <x:c r="B16" s="2" t="n">
        <x:v>1</x:v>
      </x:c>
      <x:c r="C16" s="14" t="n">
        <x:v>2.3075285057</x:v>
      </x:c>
      <x:c r="D16" s="14" t="n">
        <x:v>1828.3275601647</x:v>
      </x:c>
      <x:c r="E16" s="14" t="n">
        <x:v>25</x:v>
      </x:c>
      <x:c r="F16" s="14" t="n">
        <x:v>0.067</x:v>
      </x:c>
      <x:c r="G16" s="2" t="n">
        <x:v>3</x:v>
      </x:c>
      <x:c r="H16" s="22" t="n">
        <x:v>0.4231178736</x:v>
      </x:c>
      <x:c r="I16" s="2" t="str">
        <x:v>B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93ACBB"/>
  </x:sheetPr>
  <x:sheetViews>
    <x:sheetView showGridLines="0" workbookViewId="0"/>
  </x:sheetViews>
  <x:sheetFormatPr defaultRowHeight="15"/>
  <x:cols>
    <x:col min="1" max="1" width="20" hidden="0" customWidth="1"/>
    <x:col min="2" max="2" width="105" hidden="0" customWidth="1"/>
  </x:cols>
  <x:sheetData>
    <x:row r="1" ht="40" customHeight="1">
      <x:c r="A1" s="6" t="str">
        <x:v>项目</x:v>
      </x:c>
      <x:c r="B1" s="6" t="str">
        <x:v>说明</x:v>
      </x:c>
    </x:row>
    <x:row r="2" ht="46" customHeight="1">
      <x:c r="A2" s="2" t="str">
        <x:v>来源</x:v>
      </x:c>
      <x:c r="B2" s="8" t="str">
        <x:v>题目附件：运输无人机数据.xlsx、物资需求与配送时限.xlsx、调度中心与服务区.xlsx及30米DEM；经预处理后求解。</x:v>
      </x:c>
    </x:row>
    <x:row r="3" ht="46" customHeight="1">
      <x:c r="A3" s="7" t="str">
        <x:v>范围</x:v>
      </x:c>
      <x:c r="B3" s="9" t="str">
        <x:v>仅O01—一个服务区—O01。第一问不限制实体机数、电池数或充电周转，不施加第二问配送时限。</x:v>
      </x:c>
    </x:row>
    <x:row r="4" ht="46" customHeight="1">
      <x:c r="A4" s="2" t="str">
        <x:v>能耗约定</x:v>
      </x:c>
      <x:c r="B4" s="8" t="str">
        <x:v>Ehor=Euse*d/L(q)；Eup=(m0+q)*9.80665*h/(eta*3.6e6)。去程载货、返程空载，下降附加能耗为0。</x:v>
      </x:c>
    </x:row>
    <x:row r="5" ht="46" customHeight="1">
      <x:c r="A5" s="7" t="str">
        <x:v>推导说明</x:v>
      </x:c>
      <x:c r="B5" s="9" t="str">
        <x:v>现有Markdown题面未完整展开上述两项能耗表达式，本结果以该物理推导约定为条件。</x:v>
      </x:c>
    </x:row>
    <x:row r="6" ht="46" customHeight="1">
      <x:c r="A6" s="2" t="str">
        <x:v>时间口径</x:v>
      </x:c>
      <x:c r="B6" s="8" t="str">
        <x:v>Q1_单点组批中的“往返时间”采用准备+装载+往返飞行+交接。纯飞行时间保存在详细CSV中。</x:v>
      </x:c>
    </x:row>
    <x:row r="7" ht="46" customHeight="1">
      <x:c r="A7" s="7" t="str">
        <x:v>求解方法</x:v>
      </x:c>
      <x:c r="B7" s="9" t="str">
        <x:v>完整模式枚举、数量状态动态规划。相同物性货箱压缩后求解，随后还原到原始80个唯一货箱ID。</x:v>
      </x:c>
    </x:row>
    <x:row r="8" ht="46" customHeight="1">
      <x:c r="A8" s="2" t="str">
        <x:v>最优性</x:v>
      </x:c>
      <x:c r="B8" s="8" t="str">
        <x:v>18架次达到质量体积下界；逐区MILP证明固定最少架次时能耗最优，全部最优间隙为0。</x:v>
      </x:c>
    </x:row>
    <x:row r="9" ht="46" customHeight="1">
      <x:c r="A9" s="7" t="str">
        <x:v>安全余量</x:v>
      </x:c>
      <x:c r="B9" s="9" t="str">
        <x:v>超过23.08924839%至少19架次；超过27.04974165%至少20架次；超过35.26764735%无法完整交付。</x:v>
      </x:c>
    </x:row>
    <x:row r="10" ht="46" customHeight="1">
      <x:c r="A10" s="2" t="str">
        <x:v>精度</x:v>
      </x:c>
      <x:c r="B10" s="8" t="str">
        <x:v>约束使用未舍入数值判断；表格仅显示有限小数。保留原始节点海拔，不用DEM值覆盖。</x:v>
      </x:c>
    </x:row>
    <x:row r="11" ht="46" customHeight="1">
      <x:c r="A11" s="7" t="str">
        <x:v>结果类型</x:v>
      </x:c>
      <x:c r="B11" s="9" t="str">
        <x:v>结果为静态优化快照；汇总指标与明细以公式链接，箱组本身需通过程序重新优化。</x:v>
      </x:c>
    </x:row>
  </x:sheetData>
  <x:pageMargins left="0.7" right="0.7" top="0.75" bottom="0.75" header="0.3" footer="0.3"/>
</x:worksheet>
</file>