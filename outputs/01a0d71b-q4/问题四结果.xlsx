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6123663a3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6f9dc4317b13413a"/>
    <x:sheet xmlns:r="http://schemas.openxmlformats.org/officeDocument/2006/relationships" name="分区方案" sheetId="2" r:id="R5e7b02be6b964fe6"/>
    <x:sheet xmlns:r="http://schemas.openxmlformats.org/officeDocument/2006/relationships" name="分组汇总" sheetId="3" r:id="R5608a3cacd4e42d0"/>
    <x:sheet xmlns:r="http://schemas.openxmlformats.org/officeDocument/2006/relationships" name="资源比较" sheetId="4" r:id="R92baf015d20f40c2"/>
    <x:sheet xmlns:r="http://schemas.openxmlformats.org/officeDocument/2006/relationships" name="任务资源配置" sheetId="5" r:id="R1532a2b20f6d4e22"/>
    <x:sheet xmlns:r="http://schemas.openxmlformats.org/officeDocument/2006/relationships" name="中继复制" sheetId="6" r:id="R5d79618c8b9a4cfb"/>
    <x:sheet xmlns:r="http://schemas.openxmlformats.org/officeDocument/2006/relationships" name="方案比较" sheetId="7" r:id="R5a4a8a6ab690489f"/>
    <x:sheet xmlns:r="http://schemas.openxmlformats.org/officeDocument/2006/relationships" name="计算口径" sheetId="8" r:id="R8cb0e4933411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6">
    <x:font>
      <x:sz val="11"/>
      <x:name val="Carlito"/>
    </x:font>
    <x:font>
      <x:sz val="9"/>
      <x:color rgb="FF203247"/>
      <x:name val="Microsoft YaHei"/>
    </x:font>
    <x:font>
      <x:b/>
      <x:sz val="9"/>
      <x:color rgb="FFFFFFFF"/>
      <x:name val="Microsoft YaHei"/>
    </x:font>
    <x:font>
      <x:b/>
      <x:sz val="17"/>
      <x:color rgb="FF193A56"/>
      <x:name val="Microsoft YaHei"/>
    </x:font>
    <x:font>
      <x:b/>
      <x:sz val="12"/>
      <x:color rgb="FF193A56"/>
      <x:name val="Microsoft YaHei"/>
    </x:font>
    <x:font>
      <x:b/>
      <x:sz val="10"/>
      <x:color rgb="FF315B7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315B7D"/>
      </x:patternFill>
    </x:fill>
    <x:fill>
      <x:patternFill patternType="solid">
        <x:fgColor rgb="FFEEF4F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1a638b01a4ace" /><Relationship Type="http://schemas.openxmlformats.org/officeDocument/2006/relationships/theme" Target="/xl/theme/theme1.xml" Id="R1031090f37e54285" /><Relationship Type="http://schemas.openxmlformats.org/officeDocument/2006/relationships/sharedStrings" Target="/xl/sharedStrings.xml" Id="R23ea184677e54a97" /><Relationship Type="http://schemas.openxmlformats.org/officeDocument/2006/relationships/worksheet" Target="/xl/worksheets/sheet1.xml" Id="R6f9dc4317b13413a" /><Relationship Type="http://schemas.openxmlformats.org/officeDocument/2006/relationships/worksheet" Target="/xl/worksheets/sheet2.xml" Id="R5e7b02be6b964fe6" /><Relationship Type="http://schemas.openxmlformats.org/officeDocument/2006/relationships/worksheet" Target="/xl/worksheets/sheet3.xml" Id="R5608a3cacd4e42d0" /><Relationship Type="http://schemas.openxmlformats.org/officeDocument/2006/relationships/worksheet" Target="/xl/worksheets/sheet4.xml" Id="R92baf015d20f40c2" /><Relationship Type="http://schemas.openxmlformats.org/officeDocument/2006/relationships/worksheet" Target="/xl/worksheets/sheet5.xml" Id="R1532a2b20f6d4e22" /><Relationship Type="http://schemas.openxmlformats.org/officeDocument/2006/relationships/worksheet" Target="/xl/worksheets/sheet6.xml" Id="R5d79618c8b9a4cfb" /><Relationship Type="http://schemas.openxmlformats.org/officeDocument/2006/relationships/worksheet" Target="/xl/worksheets/sheet7.xml" Id="R5a4a8a6ab690489f" /><Relationship Type="http://schemas.openxmlformats.org/officeDocument/2006/relationships/worksheet" Target="/xl/worksheets/sheet8.xml" Id="R8cb0e4933411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B7D"/>
  </x:sheetPr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63" hidden="0" customWidth="1"/>
  </x:cols>
  <x:sheetData>
    <x:row r="2">
      <x:c r="A2" s="12" t="str">
        <x:v>问题四：任务分区与资源配置结果</x:v>
      </x:c>
    </x:row>
    <x:row r="4" ht="42" customHeight="1">
      <x:c r="A4" s="6" t="str">
        <x:v>指标</x:v>
      </x:c>
      <x:c r="B4" s="6" t="str">
        <x:v>2组方案</x:v>
      </x:c>
      <x:c r="C4" s="6" t="str">
        <x:v>3组方案</x:v>
      </x:c>
      <x:c r="D4" s="6" t="str">
        <x:v>解释</x:v>
      </x:c>
    </x:row>
    <x:row r="5" ht="23" customHeight="1">
      <x:c r="A5" s="2" t="str">
        <x:v>服务区数</x:v>
      </x:c>
      <x:c r="B5" s="2" t="n">
        <x:v>15</x:v>
      </x:c>
      <x:c r="C5" s="2" t="n">
        <x:v>15</x:v>
      </x:c>
      <x:c r="D5" s="2" t="str">
        <x:v>每个服务区唯一归组</x:v>
      </x:c>
    </x:row>
    <x:row r="6" ht="23" customHeight="1">
      <x:c r="A6" s="7" t="str">
        <x:v>原子单元数</x:v>
      </x:c>
      <x:c r="B6" s="7" t="n">
        <x:v>14</x:v>
      </x:c>
      <x:c r="C6" s="7" t="n">
        <x:v>14</x:v>
      </x:c>
      <x:c r="D6" s="7" t="str">
        <x:v>S006与S007不可拆分</x:v>
      </x:c>
    </x:row>
    <x:row r="7" ht="23" customHeight="1">
      <x:c r="A7" s="2" t="str">
        <x:v>运输架次数</x:v>
      </x:c>
      <x:c r="B7" s="2" t="n">
        <x:v>22</x:v>
      </x:c>
      <x:c r="C7" s="2" t="n">
        <x:v>22</x:v>
      </x:c>
      <x:c r="D7" s="2" t="str">
        <x:v>保持问题三安排不变</x:v>
      </x:c>
    </x:row>
    <x:row r="8" ht="23" customHeight="1">
      <x:c r="A8" s="7" t="str">
        <x:v>中继任务副本数</x:v>
      </x:c>
      <x:c r="B8" s="7" t="n">
        <x:f>SUM('分组汇总'!J2:J3)</x:f>
        <x:v>7</x:v>
      </x:c>
      <x:c r="C8" s="7" t="n">
        <x:f>SUM('分组汇总'!J4:J6)</x:f>
        <x:v>7</x:v>
      </x:c>
      <x:c r="D8" s="7" t="str">
        <x:v>跨组中继任务按组复制</x:v>
      </x:c>
    </x:row>
    <x:row r="9" ht="23" customHeight="1">
      <x:c r="A9" s="2" t="str">
        <x:v>资源总需求</x:v>
      </x:c>
      <x:c r="B9" s="2" t="n">
        <x:f>SUM('资源比较'!D2:D9)</x:f>
        <x:v>30</x:v>
      </x:c>
      <x:c r="C9" s="2" t="n">
        <x:f>SUM('资源比较'!D10:D17)</x:f>
        <x:v>35</x:v>
      </x:c>
      <x:c r="D9" s="2" t="str">
        <x:v>各类别组内峰值之和</x:v>
      </x:c>
    </x:row>
    <x:row r="10" ht="23" customHeight="1">
      <x:c r="A10" s="7" t="str">
        <x:v>资源冗余</x:v>
      </x:c>
      <x:c r="B10" s="7" t="n">
        <x:f>SUM('资源比较'!F2:F9)</x:f>
        <x:v>4</x:v>
      </x:c>
      <x:c r="C10" s="7" t="n">
        <x:f>SUM('资源比较'!F10:F17)</x:f>
        <x:v>9</x:v>
      </x:c>
      <x:c r="D10" s="7" t="str">
        <x:v>相对问题三集中执行下界</x:v>
      </x:c>
    </x:row>
    <x:row r="11" ht="23" customHeight="1">
      <x:c r="A11" s="2" t="str">
        <x:v>库存缺口</x:v>
      </x:c>
      <x:c r="B11" s="2" t="n">
        <x:f>SUM('资源比较'!H2:H9)</x:f>
        <x:v>2</x:v>
      </x:c>
      <x:c r="C11" s="2" t="n">
        <x:f>SUM('资源比较'!H10:H17)</x:f>
        <x:v>6</x:v>
      </x:c>
      <x:c r="D11" s="2" t="str">
        <x:v>各类别正缺口之和</x:v>
      </x:c>
    </x:row>
    <x:row r="12" ht="23" customHeight="1">
      <x:c r="A12" s="7" t="str">
        <x:v>工作量不均衡度</x:v>
      </x:c>
      <x:c r="B12" s="9" t="n">
        <x:f>'方案比较'!E2</x:f>
        <x:v>0.101993275809</x:v>
      </x:c>
      <x:c r="C12" s="9" t="n">
        <x:f>'方案比较'!E3</x:f>
        <x:v>0.177375131129</x:v>
      </x:c>
      <x:c r="D12" s="7" t="str">
        <x:v>六项CV加权</x:v>
      </x:c>
    </x:row>
    <x:row r="13" ht="23" customHeight="1">
      <x:c r="A13" s="2" t="str">
        <x:v>空间离散度比</x:v>
      </x:c>
      <x:c r="B13" s="8" t="n">
        <x:f>'方案比较'!F2</x:f>
        <x:v>0.985047425876</x:v>
      </x:c>
      <x:c r="C13" s="8" t="n">
        <x:f>'方案比较'!F3</x:f>
        <x:v>0.501057188252</x:v>
      </x:c>
      <x:c r="D13" s="2" t="str">
        <x:v>越小越紧凑</x:v>
      </x:c>
    </x:row>
    <x:row r="14" ht="23" customHeight="1">
      <x:c r="A14" s="7" t="str">
        <x:v>校验</x:v>
      </x:c>
      <x:c r="B14" s="7" t="str">
        <x:v>16项通过</x:v>
      </x:c>
      <x:c r="C14" s="7" t="str">
        <x:v>16项通过</x:v>
      </x:c>
      <x:c r="D14" s="7" t="str">
        <x:v>资源互斥和覆盖一致性</x:v>
      </x:c>
    </x:row>
    <x:row r="16">
      <x:c r="A16" s="13" t="str">
        <x:v>推荐结论</x:v>
      </x:c>
    </x:row>
    <x:row r="17" ht="48" customHeight="1">
      <x:c r="A17" s="15" t="str">
        <x:v>推荐方案</x:v>
      </x:c>
      <x:c r="B17" s="14" t="str">
        <x:v>两组方案</x:v>
      </x:c>
      <x:c r="C17" s="14" t="str"/>
      <x:c r="D17" s="14" t="str">
        <x:v>40/40箱，综合不均衡度0.102，只需补充2架中继无人机。</x:v>
      </x:c>
    </x:row>
    <x:row r="18" ht="48" customHeight="1">
      <x:c r="A18" s="15" t="str">
        <x:v>两组缺口</x:v>
      </x:c>
      <x:c r="B18" s="14" t="str">
        <x:v>中继无人机2架</x:v>
      </x:c>
      <x:c r="C18" s="14" t="str"/>
      <x:c r="D18" s="14" t="str">
        <x:v>两组各需2架并发中继机，组间禁止调配。</x:v>
      </x:c>
    </x:row>
    <x:row r="19" ht="48" customHeight="1">
      <x:c r="A19" s="15" t="str">
        <x:v>三组缺口</x:v>
      </x:c>
      <x:c r="B19" s="14" t="str">
        <x:v>B/C型运输机各1架；B/C型电池各1组；中继无人机2架</x:v>
      </x:c>
      <x:c r="C19" s="14" t="str"/>
      <x:c r="D19" s="14" t="str">
        <x:v>资源池分割使机体、电池和中继峰值分别累加。</x:v>
      </x:c>
    </x:row>
    <x:row r="20" ht="48" customHeight="1">
      <x:c r="A20" s="15" t="str">
        <x:v>中继复制</x:v>
      </x:c>
      <x:c r="B20" s="14" t="str">
        <x:v>Q3-R-001、Q3-R-003跨组复制</x:v>
      </x:c>
      <x:c r="C20" s="14" t="str"/>
      <x:c r="D20" s="14" t="str">
        <x:v>保持问题三通信关系和时窗不变。</x:v>
      </x:c>
    </x:row>
    <x:row r="21" ht="48" customHeight="1">
      <x:c r="A21" s="15" t="str">
        <x:v>求解范围</x:v>
      </x:c>
      <x:c r="B21" s="14" t="str">
        <x:v>两组8191种；三组788970种</x:v>
      </x:c>
      <x:c r="C21" s="14" t="str"/>
      <x:c r="D21" s="14" t="str">
        <x:v>先施加工作量ε约束，再按缺口、冗余、均衡和空间性筛选。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A8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4" hidden="0" customWidth="1"/>
  </x:cols>
  <x:sheetData>
    <x:row r="1" ht="42" customHeight="1">
      <x:c r="A1" s="6" t="str">
        <x:v>scenario</x:v>
      </x:c>
      <x:c r="B1" s="6" t="str">
        <x:v>group_id</x:v>
      </x:c>
      <x:c r="C1" s="6" t="str">
        <x:v>service_id</x:v>
      </x:c>
      <x:c r="D1" s="6" t="str">
        <x:v>atomic_unit</x:v>
      </x:c>
    </x:row>
    <x:row r="2" ht="23" customHeight="1">
      <x:c r="A2" s="2" t="str">
        <x:v>2组</x:v>
      </x:c>
      <x:c r="B2" s="2" t="str">
        <x:v>G1</x:v>
      </x:c>
      <x:c r="C2" s="2" t="str">
        <x:v>S002</x:v>
      </x:c>
      <x:c r="D2" s="2" t="str">
        <x:v>S002</x:v>
      </x:c>
    </x:row>
    <x:row r="3" ht="23" customHeight="1">
      <x:c r="A3" s="7" t="str">
        <x:v>2组</x:v>
      </x:c>
      <x:c r="B3" s="7" t="str">
        <x:v>G1</x:v>
      </x:c>
      <x:c r="C3" s="7" t="str">
        <x:v>S004</x:v>
      </x:c>
      <x:c r="D3" s="7" t="str">
        <x:v>S004</x:v>
      </x:c>
    </x:row>
    <x:row r="4" ht="23" customHeight="1">
      <x:c r="A4" s="2" t="str">
        <x:v>2组</x:v>
      </x:c>
      <x:c r="B4" s="2" t="str">
        <x:v>G1</x:v>
      </x:c>
      <x:c r="C4" s="2" t="str">
        <x:v>S005</x:v>
      </x:c>
      <x:c r="D4" s="2" t="str">
        <x:v>S005</x:v>
      </x:c>
    </x:row>
    <x:row r="5" ht="23" customHeight="1">
      <x:c r="A5" s="7" t="str">
        <x:v>2组</x:v>
      </x:c>
      <x:c r="B5" s="7" t="str">
        <x:v>G1</x:v>
      </x:c>
      <x:c r="C5" s="7" t="str">
        <x:v>S006</x:v>
      </x:c>
      <x:c r="D5" s="7" t="str">
        <x:v>S006;S007</x:v>
      </x:c>
    </x:row>
    <x:row r="6" ht="23" customHeight="1">
      <x:c r="A6" s="2" t="str">
        <x:v>2组</x:v>
      </x:c>
      <x:c r="B6" s="2" t="str">
        <x:v>G1</x:v>
      </x:c>
      <x:c r="C6" s="2" t="str">
        <x:v>S007</x:v>
      </x:c>
      <x:c r="D6" s="2" t="str">
        <x:v>S006;S007</x:v>
      </x:c>
    </x:row>
    <x:row r="7" ht="23" customHeight="1">
      <x:c r="A7" s="7" t="str">
        <x:v>2组</x:v>
      </x:c>
      <x:c r="B7" s="7" t="str">
        <x:v>G1</x:v>
      </x:c>
      <x:c r="C7" s="7" t="str">
        <x:v>S011</x:v>
      </x:c>
      <x:c r="D7" s="7" t="str">
        <x:v>S011</x:v>
      </x:c>
    </x:row>
    <x:row r="8" ht="23" customHeight="1">
      <x:c r="A8" s="2" t="str">
        <x:v>2组</x:v>
      </x:c>
      <x:c r="B8" s="2" t="str">
        <x:v>G1</x:v>
      </x:c>
      <x:c r="C8" s="2" t="str">
        <x:v>S013</x:v>
      </x:c>
      <x:c r="D8" s="2" t="str">
        <x:v>S013</x:v>
      </x:c>
    </x:row>
    <x:row r="9" ht="23" customHeight="1">
      <x:c r="A9" s="7" t="str">
        <x:v>2组</x:v>
      </x:c>
      <x:c r="B9" s="7" t="str">
        <x:v>G1</x:v>
      </x:c>
      <x:c r="C9" s="7" t="str">
        <x:v>S015</x:v>
      </x:c>
      <x:c r="D9" s="7" t="str">
        <x:v>S015</x:v>
      </x:c>
    </x:row>
    <x:row r="10" ht="23" customHeight="1">
      <x:c r="A10" s="2" t="str">
        <x:v>2组</x:v>
      </x:c>
      <x:c r="B10" s="2" t="str">
        <x:v>G2</x:v>
      </x:c>
      <x:c r="C10" s="2" t="str">
        <x:v>S001</x:v>
      </x:c>
      <x:c r="D10" s="2" t="str">
        <x:v>S001</x:v>
      </x:c>
    </x:row>
    <x:row r="11" ht="23" customHeight="1">
      <x:c r="A11" s="7" t="str">
        <x:v>2组</x:v>
      </x:c>
      <x:c r="B11" s="7" t="str">
        <x:v>G2</x:v>
      </x:c>
      <x:c r="C11" s="7" t="str">
        <x:v>S003</x:v>
      </x:c>
      <x:c r="D11" s="7" t="str">
        <x:v>S003</x:v>
      </x:c>
    </x:row>
    <x:row r="12" ht="23" customHeight="1">
      <x:c r="A12" s="2" t="str">
        <x:v>2组</x:v>
      </x:c>
      <x:c r="B12" s="2" t="str">
        <x:v>G2</x:v>
      </x:c>
      <x:c r="C12" s="2" t="str">
        <x:v>S008</x:v>
      </x:c>
      <x:c r="D12" s="2" t="str">
        <x:v>S008</x:v>
      </x:c>
    </x:row>
    <x:row r="13" ht="23" customHeight="1">
      <x:c r="A13" s="7" t="str">
        <x:v>2组</x:v>
      </x:c>
      <x:c r="B13" s="7" t="str">
        <x:v>G2</x:v>
      </x:c>
      <x:c r="C13" s="7" t="str">
        <x:v>S009</x:v>
      </x:c>
      <x:c r="D13" s="7" t="str">
        <x:v>S009</x:v>
      </x:c>
    </x:row>
    <x:row r="14" ht="23" customHeight="1">
      <x:c r="A14" s="2" t="str">
        <x:v>2组</x:v>
      </x:c>
      <x:c r="B14" s="2" t="str">
        <x:v>G2</x:v>
      </x:c>
      <x:c r="C14" s="2" t="str">
        <x:v>S010</x:v>
      </x:c>
      <x:c r="D14" s="2" t="str">
        <x:v>S010</x:v>
      </x:c>
    </x:row>
    <x:row r="15" ht="23" customHeight="1">
      <x:c r="A15" s="7" t="str">
        <x:v>2组</x:v>
      </x:c>
      <x:c r="B15" s="7" t="str">
        <x:v>G2</x:v>
      </x:c>
      <x:c r="C15" s="7" t="str">
        <x:v>S012</x:v>
      </x:c>
      <x:c r="D15" s="7" t="str">
        <x:v>S012</x:v>
      </x:c>
    </x:row>
    <x:row r="16" ht="23" customHeight="1">
      <x:c r="A16" s="2" t="str">
        <x:v>2组</x:v>
      </x:c>
      <x:c r="B16" s="2" t="str">
        <x:v>G2</x:v>
      </x:c>
      <x:c r="C16" s="2" t="str">
        <x:v>S014</x:v>
      </x:c>
      <x:c r="D16" s="2" t="str">
        <x:v>S014</x:v>
      </x:c>
    </x:row>
    <x:row r="17" ht="23" customHeight="1">
      <x:c r="A17" s="7" t="str">
        <x:v>3组</x:v>
      </x:c>
      <x:c r="B17" s="7" t="str">
        <x:v>G1</x:v>
      </x:c>
      <x:c r="C17" s="7" t="str">
        <x:v>S003</x:v>
      </x:c>
      <x:c r="D17" s="7" t="str">
        <x:v>S003</x:v>
      </x:c>
    </x:row>
    <x:row r="18" ht="23" customHeight="1">
      <x:c r="A18" s="2" t="str">
        <x:v>3组</x:v>
      </x:c>
      <x:c r="B18" s="2" t="str">
        <x:v>G1</x:v>
      </x:c>
      <x:c r="C18" s="2" t="str">
        <x:v>S006</x:v>
      </x:c>
      <x:c r="D18" s="2" t="str">
        <x:v>S006;S007</x:v>
      </x:c>
    </x:row>
    <x:row r="19" ht="23" customHeight="1">
      <x:c r="A19" s="7" t="str">
        <x:v>3组</x:v>
      </x:c>
      <x:c r="B19" s="7" t="str">
        <x:v>G1</x:v>
      </x:c>
      <x:c r="C19" s="7" t="str">
        <x:v>S007</x:v>
      </x:c>
      <x:c r="D19" s="7" t="str">
        <x:v>S006;S007</x:v>
      </x:c>
    </x:row>
    <x:row r="20" ht="23" customHeight="1">
      <x:c r="A20" s="2" t="str">
        <x:v>3组</x:v>
      </x:c>
      <x:c r="B20" s="2" t="str">
        <x:v>G1</x:v>
      </x:c>
      <x:c r="C20" s="2" t="str">
        <x:v>S008</x:v>
      </x:c>
      <x:c r="D20" s="2" t="str">
        <x:v>S008</x:v>
      </x:c>
    </x:row>
    <x:row r="21" ht="23" customHeight="1">
      <x:c r="A21" s="7" t="str">
        <x:v>3组</x:v>
      </x:c>
      <x:c r="B21" s="7" t="str">
        <x:v>G1</x:v>
      </x:c>
      <x:c r="C21" s="7" t="str">
        <x:v>S015</x:v>
      </x:c>
      <x:c r="D21" s="7" t="str">
        <x:v>S015</x:v>
      </x:c>
    </x:row>
    <x:row r="22" ht="23" customHeight="1">
      <x:c r="A22" s="2" t="str">
        <x:v>3组</x:v>
      </x:c>
      <x:c r="B22" s="2" t="str">
        <x:v>G2</x:v>
      </x:c>
      <x:c r="C22" s="2" t="str">
        <x:v>S001</x:v>
      </x:c>
      <x:c r="D22" s="2" t="str">
        <x:v>S001</x:v>
      </x:c>
    </x:row>
    <x:row r="23" ht="23" customHeight="1">
      <x:c r="A23" s="7" t="str">
        <x:v>3组</x:v>
      </x:c>
      <x:c r="B23" s="7" t="str">
        <x:v>G2</x:v>
      </x:c>
      <x:c r="C23" s="7" t="str">
        <x:v>S002</x:v>
      </x:c>
      <x:c r="D23" s="7" t="str">
        <x:v>S002</x:v>
      </x:c>
    </x:row>
    <x:row r="24" ht="23" customHeight="1">
      <x:c r="A24" s="2" t="str">
        <x:v>3组</x:v>
      </x:c>
      <x:c r="B24" s="2" t="str">
        <x:v>G2</x:v>
      </x:c>
      <x:c r="C24" s="2" t="str">
        <x:v>S005</x:v>
      </x:c>
      <x:c r="D24" s="2" t="str">
        <x:v>S005</x:v>
      </x:c>
    </x:row>
    <x:row r="25" ht="23" customHeight="1">
      <x:c r="A25" s="7" t="str">
        <x:v>3组</x:v>
      </x:c>
      <x:c r="B25" s="7" t="str">
        <x:v>G2</x:v>
      </x:c>
      <x:c r="C25" s="7" t="str">
        <x:v>S009</x:v>
      </x:c>
      <x:c r="D25" s="7" t="str">
        <x:v>S009</x:v>
      </x:c>
    </x:row>
    <x:row r="26" ht="23" customHeight="1">
      <x:c r="A26" s="2" t="str">
        <x:v>3组</x:v>
      </x:c>
      <x:c r="B26" s="2" t="str">
        <x:v>G2</x:v>
      </x:c>
      <x:c r="C26" s="2" t="str">
        <x:v>S012</x:v>
      </x:c>
      <x:c r="D26" s="2" t="str">
        <x:v>S012</x:v>
      </x:c>
    </x:row>
    <x:row r="27" ht="23" customHeight="1">
      <x:c r="A27" s="7" t="str">
        <x:v>3组</x:v>
      </x:c>
      <x:c r="B27" s="7" t="str">
        <x:v>G3</x:v>
      </x:c>
      <x:c r="C27" s="7" t="str">
        <x:v>S004</x:v>
      </x:c>
      <x:c r="D27" s="7" t="str">
        <x:v>S004</x:v>
      </x:c>
    </x:row>
    <x:row r="28" ht="23" customHeight="1">
      <x:c r="A28" s="2" t="str">
        <x:v>3组</x:v>
      </x:c>
      <x:c r="B28" s="2" t="str">
        <x:v>G3</x:v>
      </x:c>
      <x:c r="C28" s="2" t="str">
        <x:v>S010</x:v>
      </x:c>
      <x:c r="D28" s="2" t="str">
        <x:v>S010</x:v>
      </x:c>
    </x:row>
    <x:row r="29" ht="23" customHeight="1">
      <x:c r="A29" s="7" t="str">
        <x:v>3组</x:v>
      </x:c>
      <x:c r="B29" s="7" t="str">
        <x:v>G3</x:v>
      </x:c>
      <x:c r="C29" s="7" t="str">
        <x:v>S011</x:v>
      </x:c>
      <x:c r="D29" s="7" t="str">
        <x:v>S011</x:v>
      </x:c>
    </x:row>
    <x:row r="30" ht="23" customHeight="1">
      <x:c r="A30" s="2" t="str">
        <x:v>3组</x:v>
      </x:c>
      <x:c r="B30" s="2" t="str">
        <x:v>G3</x:v>
      </x:c>
      <x:c r="C30" s="2" t="str">
        <x:v>S013</x:v>
      </x:c>
      <x:c r="D30" s="2" t="str">
        <x:v>S013</x:v>
      </x:c>
    </x:row>
    <x:row r="31" ht="23" customHeight="1">
      <x:c r="A31" s="7" t="str">
        <x:v>3组</x:v>
      </x:c>
      <x:c r="B31" s="7" t="str">
        <x:v>G3</x:v>
      </x:c>
      <x:c r="C31" s="7" t="str">
        <x:v>S014</x:v>
      </x:c>
      <x:c r="D31" s="7" t="str">
        <x:v>S014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A8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54" hidden="0" customWidth="1"/>
    <x:col min="4" max="4" width="14" hidden="0" customWidth="1"/>
    <x:col min="5" max="5" width="12" hidden="0" customWidth="1"/>
    <x:col min="6" max="6" width="14" hidden="0" customWidth="1"/>
    <x:col min="7" max="7" width="16" hidden="0" customWidth="1"/>
    <x:col min="8" max="8" width="21" hidden="0" customWidth="1"/>
    <x:col min="9" max="9" width="19" hidden="0" customWidth="1"/>
    <x:col min="10" max="10" width="18" hidden="0" customWidth="1"/>
    <x:col min="11" max="11" width="20" hidden="0" customWidth="1"/>
    <x:col min="12" max="12" width="18" hidden="0" customWidth="1"/>
    <x:col min="13" max="13" width="13" hidden="0" customWidth="1"/>
    <x:col min="14" max="14" width="13" hidden="0" customWidth="1"/>
    <x:col min="15" max="15" width="13" hidden="0" customWidth="1"/>
    <x:col min="16" max="16" width="15" hidden="0" customWidth="1"/>
    <x:col min="17" max="17" width="15" hidden="0" customWidth="1"/>
    <x:col min="18" max="18" width="15" hidden="0" customWidth="1"/>
    <x:col min="19" max="19" width="16" hidden="0" customWidth="1"/>
    <x:col min="20" max="20" width="18" hidden="0" customWidth="1"/>
  </x:cols>
  <x:sheetData>
    <x:row r="1" ht="42" customHeight="1">
      <x:c r="A1" s="6" t="str">
        <x:v>scenario</x:v>
      </x:c>
      <x:c r="B1" s="6" t="str">
        <x:v>group_id</x:v>
      </x:c>
      <x:c r="C1" s="6" t="str">
        <x:v>services</x:v>
      </x:c>
      <x:c r="D1" s="6" t="str">
        <x:v>service_count</x:v>
      </x:c>
      <x:c r="E1" s="6" t="str">
        <x:v>boxes</x:v>
      </x:c>
      <x:c r="F1" s="6" t="str">
        <x:v>mass_kg</x:v>
      </x:c>
      <x:c r="G1" s="6" t="str">
        <x:v>transport_trips</x:v>
      </x:c>
      <x:c r="H1" s="6" t="str">
        <x:v>transport_energy_kwh</x:v>
      </x:c>
      <x:c r="I1" s="6" t="str">
        <x:v>transport_busy_s</x:v>
      </x:c>
      <x:c r="J1" s="6" t="str">
        <x:v>relay_task_copies</x:v>
      </x:c>
      <x:c r="K1" s="6" t="str">
        <x:v>relay_service_s</x:v>
      </x:c>
      <x:c r="L1" s="6" t="str">
        <x:v>joint_task_count</x:v>
      </x:c>
      <x:c r="M1" s="6" t="str">
        <x:v>运输机A</x:v>
      </x:c>
      <x:c r="N1" s="6" t="str">
        <x:v>运输机B</x:v>
      </x:c>
      <x:c r="O1" s="6" t="str">
        <x:v>运输机C</x:v>
      </x:c>
      <x:c r="P1" s="6" t="str">
        <x:v>运输电池A</x:v>
      </x:c>
      <x:c r="Q1" s="6" t="str">
        <x:v>运输电池B</x:v>
      </x:c>
      <x:c r="R1" s="6" t="str">
        <x:v>运输电池C</x:v>
      </x:c>
      <x:c r="S1" s="6" t="str">
        <x:v>中继无人机</x:v>
      </x:c>
      <x:c r="T1" s="6" t="str">
        <x:v>中继能源组件</x:v>
      </x:c>
    </x:row>
    <x:row r="2" ht="23" customHeight="1">
      <x:c r="A2" s="2" t="str">
        <x:v>2组</x:v>
      </x:c>
      <x:c r="B2" s="2" t="str">
        <x:v>G1</x:v>
      </x:c>
      <x:c r="C2" s="2" t="str">
        <x:v>S002;S004;S005;S006;S007;S011;S013;S015</x:v>
      </x:c>
      <x:c r="D2" s="2" t="n">
        <x:v>8</x:v>
      </x:c>
      <x:c r="E2" s="2" t="n">
        <x:v>40</x:v>
      </x:c>
      <x:c r="F2" s="2" t="n">
        <x:v>378</x:v>
      </x:c>
      <x:c r="G2" s="8" t="n">
        <x:v>10</x:v>
      </x:c>
      <x:c r="H2" s="8" t="n">
        <x:v>31.8992832562</x:v>
      </x:c>
      <x:c r="I2" s="8" t="n">
        <x:v>18165.4420676</x:v>
      </x:c>
      <x:c r="J2" s="8" t="n">
        <x:v>5</x:v>
      </x:c>
      <x:c r="K2" s="2" t="n">
        <x:v>8873.31968499</x:v>
      </x:c>
      <x:c r="L2" s="2" t="n">
        <x:v>15</x:v>
      </x:c>
      <x:c r="M2" s="2" t="n">
        <x:v>2</x:v>
      </x:c>
      <x:c r="N2" s="2" t="n">
        <x:v>1</x:v>
      </x:c>
      <x:c r="O2" s="2" t="n">
        <x:v>1</x:v>
      </x:c>
      <x:c r="P2" s="2" t="n">
        <x:v>2</x:v>
      </x:c>
      <x:c r="Q2" s="2" t="n">
        <x:v>2</x:v>
      </x:c>
      <x:c r="R2" s="2" t="n">
        <x:v>2</x:v>
      </x:c>
      <x:c r="S2" s="2" t="n">
        <x:v>2</x:v>
      </x:c>
      <x:c r="T2" s="2" t="n">
        <x:v>3</x:v>
      </x:c>
    </x:row>
    <x:row r="3" ht="23" customHeight="1">
      <x:c r="A3" s="7" t="str">
        <x:v>2组</x:v>
      </x:c>
      <x:c r="B3" s="7" t="str">
        <x:v>G2</x:v>
      </x:c>
      <x:c r="C3" s="7" t="str">
        <x:v>S001;S003;S008;S009;S010;S012;S014</x:v>
      </x:c>
      <x:c r="D3" s="7" t="n">
        <x:v>7</x:v>
      </x:c>
      <x:c r="E3" s="7" t="n">
        <x:v>40</x:v>
      </x:c>
      <x:c r="F3" s="7" t="n">
        <x:v>380</x:v>
      </x:c>
      <x:c r="G3" s="9" t="n">
        <x:v>12</x:v>
      </x:c>
      <x:c r="H3" s="9" t="n">
        <x:v>35.4056138322</x:v>
      </x:c>
      <x:c r="I3" s="9" t="n">
        <x:v>21453.6676527</x:v>
      </x:c>
      <x:c r="J3" s="9" t="n">
        <x:v>2</x:v>
      </x:c>
      <x:c r="K3" s="7" t="n">
        <x:v>7069.31968501</x:v>
      </x:c>
      <x:c r="L3" s="7" t="n">
        <x:v>14</x:v>
      </x:c>
      <x:c r="M3" s="7" t="n">
        <x:v>2</x:v>
      </x:c>
      <x:c r="N3" s="7" t="n">
        <x:v>1</x:v>
      </x:c>
      <x:c r="O3" s="7" t="n">
        <x:v>1</x:v>
      </x:c>
      <x:c r="P3" s="7" t="n">
        <x:v>3</x:v>
      </x:c>
      <x:c r="Q3" s="7" t="n">
        <x:v>2</x:v>
      </x:c>
      <x:c r="R3" s="7" t="n">
        <x:v>2</x:v>
      </x:c>
      <x:c r="S3" s="7" t="n">
        <x:v>2</x:v>
      </x:c>
      <x:c r="T3" s="7" t="n">
        <x:v>2</x:v>
      </x:c>
    </x:row>
    <x:row r="4" ht="23" customHeight="1">
      <x:c r="A4" s="2" t="str">
        <x:v>3组</x:v>
      </x:c>
      <x:c r="B4" s="2" t="str">
        <x:v>G1</x:v>
      </x:c>
      <x:c r="C4" s="2" t="str">
        <x:v>S003;S006;S007;S008;S015</x:v>
      </x:c>
      <x:c r="D4" s="2" t="n">
        <x:v>5</x:v>
      </x:c>
      <x:c r="E4" s="2" t="n">
        <x:v>27</x:v>
      </x:c>
      <x:c r="F4" s="2" t="n">
        <x:v>255</x:v>
      </x:c>
      <x:c r="G4" s="8" t="n">
        <x:v>7</x:v>
      </x:c>
      <x:c r="H4" s="8" t="n">
        <x:v>24.1844817007</x:v>
      </x:c>
      <x:c r="I4" s="8" t="n">
        <x:v>13833.1438081</x:v>
      </x:c>
      <x:c r="J4" s="8" t="n">
        <x:v>3</x:v>
      </x:c>
      <x:c r="K4" s="2" t="n">
        <x:v>5770.42701508</x:v>
      </x:c>
      <x:c r="L4" s="2" t="n">
        <x:v>10</x:v>
      </x:c>
      <x:c r="M4" s="2" t="n">
        <x:v>1</x:v>
      </x:c>
      <x:c r="N4" s="2" t="n">
        <x:v>1</x:v>
      </x:c>
      <x:c r="O4" s="2" t="n">
        <x:v>1</x:v>
      </x:c>
      <x:c r="P4" s="2" t="n">
        <x:v>1</x:v>
      </x:c>
      <x:c r="Q4" s="2" t="n">
        <x:v>2</x:v>
      </x:c>
      <x:c r="R4" s="2" t="n">
        <x:v>2</x:v>
      </x:c>
      <x:c r="S4" s="2" t="n">
        <x:v>1</x:v>
      </x:c>
      <x:c r="T4" s="2" t="n">
        <x:v>2</x:v>
      </x:c>
    </x:row>
    <x:row r="5" ht="23" customHeight="1">
      <x:c r="A5" s="7" t="str">
        <x:v>3组</x:v>
      </x:c>
      <x:c r="B5" s="7" t="str">
        <x:v>G2</x:v>
      </x:c>
      <x:c r="C5" s="7" t="str">
        <x:v>S001;S002;S005;S009;S012</x:v>
      </x:c>
      <x:c r="D5" s="7" t="n">
        <x:v>5</x:v>
      </x:c>
      <x:c r="E5" s="7" t="n">
        <x:v>35</x:v>
      </x:c>
      <x:c r="F5" s="7" t="n">
        <x:v>344</x:v>
      </x:c>
      <x:c r="G5" s="9" t="n">
        <x:v>8</x:v>
      </x:c>
      <x:c r="H5" s="9" t="n">
        <x:v>24.5715937925</x:v>
      </x:c>
      <x:c r="I5" s="9" t="n">
        <x:v>13667.5520364</x:v>
      </x:c>
      <x:c r="J5" s="9" t="n">
        <x:v>2</x:v>
      </x:c>
      <x:c r="K5" s="7" t="n">
        <x:v>7069.31968501</x:v>
      </x:c>
      <x:c r="L5" s="7" t="n">
        <x:v>10</x:v>
      </x:c>
      <x:c r="M5" s="7" t="n">
        <x:v>1</x:v>
      </x:c>
      <x:c r="N5" s="7" t="n">
        <x:v>1</x:v>
      </x:c>
      <x:c r="O5" s="7" t="n">
        <x:v>1</x:v>
      </x:c>
      <x:c r="P5" s="7" t="n">
        <x:v>1</x:v>
      </x:c>
      <x:c r="Q5" s="7" t="n">
        <x:v>2</x:v>
      </x:c>
      <x:c r="R5" s="7" t="n">
        <x:v>2</x:v>
      </x:c>
      <x:c r="S5" s="7" t="n">
        <x:v>2</x:v>
      </x:c>
      <x:c r="T5" s="7" t="n">
        <x:v>2</x:v>
      </x:c>
    </x:row>
    <x:row r="6" ht="23" customHeight="1">
      <x:c r="A6" s="2" t="str">
        <x:v>3组</x:v>
      </x:c>
      <x:c r="B6" s="2" t="str">
        <x:v>G3</x:v>
      </x:c>
      <x:c r="C6" s="2" t="str">
        <x:v>S004;S010;S011;S013;S014</x:v>
      </x:c>
      <x:c r="D6" s="2" t="n">
        <x:v>5</x:v>
      </x:c>
      <x:c r="E6" s="2" t="n">
        <x:v>18</x:v>
      </x:c>
      <x:c r="F6" s="2" t="n">
        <x:v>159</x:v>
      </x:c>
      <x:c r="G6" s="8" t="n">
        <x:v>7</x:v>
      </x:c>
      <x:c r="H6" s="8" t="n">
        <x:v>18.5488215953</x:v>
      </x:c>
      <x:c r="I6" s="8" t="n">
        <x:v>12118.4138758</x:v>
      </x:c>
      <x:c r="J6" s="8" t="n">
        <x:v>2</x:v>
      </x:c>
      <x:c r="K6" s="2" t="n">
        <x:v>3102.89266991</x:v>
      </x:c>
      <x:c r="L6" s="2" t="n">
        <x:v>9</x:v>
      </x:c>
      <x:c r="M6" s="2" t="n">
        <x:v>2</x:v>
      </x:c>
      <x:c r="N6" s="2" t="n">
        <x:v>1</x:v>
      </x:c>
      <x:c r="O6" s="2" t="n">
        <x:v>1</x:v>
      </x:c>
      <x:c r="P6" s="2" t="n">
        <x:v>3</x:v>
      </x:c>
      <x:c r="Q6" s="2" t="n">
        <x:v>1</x:v>
      </x:c>
      <x:c r="R6" s="2" t="n">
        <x:v>1</x:v>
      </x:c>
      <x:c r="S6" s="2" t="n">
        <x:v>1</x:v>
      </x:c>
      <x:c r="T6" s="2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A8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9" hidden="0" customWidth="1"/>
    <x:col min="4" max="4" width="22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42" customHeight="1">
      <x:c r="A1" s="6" t="str">
        <x:v>scenario</x:v>
      </x:c>
      <x:c r="B1" s="6" t="str">
        <x:v>resource</x:v>
      </x:c>
      <x:c r="C1" s="6" t="str">
        <x:v>centralized_required</x:v>
      </x:c>
      <x:c r="D1" s="6" t="str">
        <x:v>partition_total_required</x:v>
      </x:c>
      <x:c r="E1" s="6" t="str">
        <x:v>existing_stock</x:v>
      </x:c>
      <x:c r="F1" s="6" t="str">
        <x:v>redundancy</x:v>
      </x:c>
      <x:c r="G1" s="6" t="str">
        <x:v>spare</x:v>
      </x:c>
      <x:c r="H1" s="6" t="str">
        <x:v>deficit</x:v>
      </x:c>
    </x:row>
    <x:row r="2" ht="23" customHeight="1">
      <x:c r="A2" s="2" t="str">
        <x:v>2组</x:v>
      </x:c>
      <x:c r="B2" s="2" t="str">
        <x:v>运输机A</x:v>
      </x:c>
      <x:c r="C2" s="2" t="n">
        <x:v>4</x:v>
      </x:c>
      <x:c r="D2" s="2" t="n">
        <x:v>4</x:v>
      </x:c>
      <x:c r="E2" s="2" t="n">
        <x:v>4</x:v>
      </x:c>
      <x:c r="F2" s="2" t="n">
        <x:v>0</x:v>
      </x:c>
      <x:c r="G2" s="2" t="n">
        <x:v>0</x:v>
      </x:c>
      <x:c r="H2" s="2" t="n">
        <x:v>0</x:v>
      </x:c>
    </x:row>
    <x:row r="3" ht="23" customHeight="1">
      <x:c r="A3" s="7" t="str">
        <x:v>2组</x:v>
      </x:c>
      <x:c r="B3" s="7" t="str">
        <x:v>运输机B</x:v>
      </x:c>
      <x:c r="C3" s="7" t="n">
        <x:v>2</x:v>
      </x:c>
      <x:c r="D3" s="7" t="n">
        <x:v>2</x:v>
      </x:c>
      <x:c r="E3" s="7" t="n">
        <x:v>2</x:v>
      </x:c>
      <x:c r="F3" s="7" t="n">
        <x:v>0</x:v>
      </x:c>
      <x:c r="G3" s="7" t="n">
        <x:v>0</x:v>
      </x:c>
      <x:c r="H3" s="7" t="n">
        <x:v>0</x:v>
      </x:c>
    </x:row>
    <x:row r="4" ht="23" customHeight="1">
      <x:c r="A4" s="2" t="str">
        <x:v>2组</x:v>
      </x:c>
      <x:c r="B4" s="2" t="str">
        <x:v>运输机C</x:v>
      </x:c>
      <x:c r="C4" s="2" t="n">
        <x:v>2</x:v>
      </x:c>
      <x:c r="D4" s="2" t="n">
        <x:v>2</x:v>
      </x:c>
      <x:c r="E4" s="2" t="n">
        <x:v>2</x:v>
      </x:c>
      <x:c r="F4" s="2" t="n">
        <x:v>0</x:v>
      </x:c>
      <x:c r="G4" s="2" t="n">
        <x:v>0</x:v>
      </x:c>
      <x:c r="H4" s="2" t="n">
        <x:v>0</x:v>
      </x:c>
    </x:row>
    <x:row r="5" ht="23" customHeight="1">
      <x:c r="A5" s="7" t="str">
        <x:v>2组</x:v>
      </x:c>
      <x:c r="B5" s="7" t="str">
        <x:v>运输电池A</x:v>
      </x:c>
      <x:c r="C5" s="7" t="n">
        <x:v>5</x:v>
      </x:c>
      <x:c r="D5" s="7" t="n">
        <x:v>5</x:v>
      </x:c>
      <x:c r="E5" s="7" t="n">
        <x:v>6</x:v>
      </x:c>
      <x:c r="F5" s="7" t="n">
        <x:v>0</x:v>
      </x:c>
      <x:c r="G5" s="7" t="n">
        <x:v>1</x:v>
      </x:c>
      <x:c r="H5" s="7" t="n">
        <x:v>0</x:v>
      </x:c>
    </x:row>
    <x:row r="6" ht="23" customHeight="1">
      <x:c r="A6" s="2" t="str">
        <x:v>2组</x:v>
      </x:c>
      <x:c r="B6" s="2" t="str">
        <x:v>运输电池B</x:v>
      </x:c>
      <x:c r="C6" s="2" t="n">
        <x:v>4</x:v>
      </x:c>
      <x:c r="D6" s="2" t="n">
        <x:v>4</x:v>
      </x:c>
      <x:c r="E6" s="2" t="n">
        <x:v>4</x:v>
      </x:c>
      <x:c r="F6" s="2" t="n">
        <x:v>0</x:v>
      </x:c>
      <x:c r="G6" s="2" t="n">
        <x:v>0</x:v>
      </x:c>
      <x:c r="H6" s="2" t="n">
        <x:v>0</x:v>
      </x:c>
    </x:row>
    <x:row r="7" ht="23" customHeight="1">
      <x:c r="A7" s="7" t="str">
        <x:v>2组</x:v>
      </x:c>
      <x:c r="B7" s="7" t="str">
        <x:v>运输电池C</x:v>
      </x:c>
      <x:c r="C7" s="7" t="n">
        <x:v>4</x:v>
      </x:c>
      <x:c r="D7" s="7" t="n">
        <x:v>4</x:v>
      </x:c>
      <x:c r="E7" s="7" t="n">
        <x:v>4</x:v>
      </x:c>
      <x:c r="F7" s="7" t="n">
        <x:v>0</x:v>
      </x:c>
      <x:c r="G7" s="7" t="n">
        <x:v>0</x:v>
      </x:c>
      <x:c r="H7" s="7" t="n">
        <x:v>0</x:v>
      </x:c>
    </x:row>
    <x:row r="8" ht="23" customHeight="1">
      <x:c r="A8" s="2" t="str">
        <x:v>2组</x:v>
      </x:c>
      <x:c r="B8" s="2" t="str">
        <x:v>中继无人机</x:v>
      </x:c>
      <x:c r="C8" s="2" t="n">
        <x:v>2</x:v>
      </x:c>
      <x:c r="D8" s="2" t="n">
        <x:v>4</x:v>
      </x:c>
      <x:c r="E8" s="2" t="n">
        <x:v>2</x:v>
      </x:c>
      <x:c r="F8" s="2" t="n">
        <x:v>2</x:v>
      </x:c>
      <x:c r="G8" s="2" t="n">
        <x:v>0</x:v>
      </x:c>
      <x:c r="H8" s="2" t="n">
        <x:v>2</x:v>
      </x:c>
    </x:row>
    <x:row r="9" ht="23" customHeight="1">
      <x:c r="A9" s="7" t="str">
        <x:v>2组</x:v>
      </x:c>
      <x:c r="B9" s="7" t="str">
        <x:v>中继能源组件</x:v>
      </x:c>
      <x:c r="C9" s="7" t="n">
        <x:v>3</x:v>
      </x:c>
      <x:c r="D9" s="7" t="n">
        <x:v>5</x:v>
      </x:c>
      <x:c r="E9" s="7" t="n">
        <x:v>6</x:v>
      </x:c>
      <x:c r="F9" s="7" t="n">
        <x:v>2</x:v>
      </x:c>
      <x:c r="G9" s="7" t="n">
        <x:v>1</x:v>
      </x:c>
      <x:c r="H9" s="7" t="n">
        <x:v>0</x:v>
      </x:c>
    </x:row>
    <x:row r="10" ht="23" customHeight="1">
      <x:c r="A10" s="2" t="str">
        <x:v>3组</x:v>
      </x:c>
      <x:c r="B10" s="2" t="str">
        <x:v>运输机A</x:v>
      </x:c>
      <x:c r="C10" s="2" t="n">
        <x:v>4</x:v>
      </x:c>
      <x:c r="D10" s="2" t="n">
        <x:v>4</x:v>
      </x:c>
      <x:c r="E10" s="2" t="n">
        <x:v>4</x:v>
      </x:c>
      <x:c r="F10" s="2" t="n">
        <x:v>0</x:v>
      </x:c>
      <x:c r="G10" s="2" t="n">
        <x:v>0</x:v>
      </x:c>
      <x:c r="H10" s="2" t="n">
        <x:v>0</x:v>
      </x:c>
    </x:row>
    <x:row r="11" ht="23" customHeight="1">
      <x:c r="A11" s="7" t="str">
        <x:v>3组</x:v>
      </x:c>
      <x:c r="B11" s="7" t="str">
        <x:v>运输机B</x:v>
      </x:c>
      <x:c r="C11" s="7" t="n">
        <x:v>2</x:v>
      </x:c>
      <x:c r="D11" s="7" t="n">
        <x:v>3</x:v>
      </x:c>
      <x:c r="E11" s="7" t="n">
        <x:v>2</x:v>
      </x:c>
      <x:c r="F11" s="7" t="n">
        <x:v>1</x:v>
      </x:c>
      <x:c r="G11" s="7" t="n">
        <x:v>0</x:v>
      </x:c>
      <x:c r="H11" s="7" t="n">
        <x:v>1</x:v>
      </x:c>
    </x:row>
    <x:row r="12" ht="23" customHeight="1">
      <x:c r="A12" s="2" t="str">
        <x:v>3组</x:v>
      </x:c>
      <x:c r="B12" s="2" t="str">
        <x:v>运输机C</x:v>
      </x:c>
      <x:c r="C12" s="2" t="n">
        <x:v>2</x:v>
      </x:c>
      <x:c r="D12" s="2" t="n">
        <x:v>3</x:v>
      </x:c>
      <x:c r="E12" s="2" t="n">
        <x:v>2</x:v>
      </x:c>
      <x:c r="F12" s="2" t="n">
        <x:v>1</x:v>
      </x:c>
      <x:c r="G12" s="2" t="n">
        <x:v>0</x:v>
      </x:c>
      <x:c r="H12" s="2" t="n">
        <x:v>1</x:v>
      </x:c>
    </x:row>
    <x:row r="13" ht="23" customHeight="1">
      <x:c r="A13" s="7" t="str">
        <x:v>3组</x:v>
      </x:c>
      <x:c r="B13" s="7" t="str">
        <x:v>运输电池A</x:v>
      </x:c>
      <x:c r="C13" s="7" t="n">
        <x:v>5</x:v>
      </x:c>
      <x:c r="D13" s="7" t="n">
        <x:v>5</x:v>
      </x:c>
      <x:c r="E13" s="7" t="n">
        <x:v>6</x:v>
      </x:c>
      <x:c r="F13" s="7" t="n">
        <x:v>0</x:v>
      </x:c>
      <x:c r="G13" s="7" t="n">
        <x:v>1</x:v>
      </x:c>
      <x:c r="H13" s="7" t="n">
        <x:v>0</x:v>
      </x:c>
    </x:row>
    <x:row r="14" ht="23" customHeight="1">
      <x:c r="A14" s="2" t="str">
        <x:v>3组</x:v>
      </x:c>
      <x:c r="B14" s="2" t="str">
        <x:v>运输电池B</x:v>
      </x:c>
      <x:c r="C14" s="2" t="n">
        <x:v>4</x:v>
      </x:c>
      <x:c r="D14" s="2" t="n">
        <x:v>5</x:v>
      </x:c>
      <x:c r="E14" s="2" t="n">
        <x:v>4</x:v>
      </x:c>
      <x:c r="F14" s="2" t="n">
        <x:v>1</x:v>
      </x:c>
      <x:c r="G14" s="2" t="n">
        <x:v>0</x:v>
      </x:c>
      <x:c r="H14" s="2" t="n">
        <x:v>1</x:v>
      </x:c>
    </x:row>
    <x:row r="15" ht="23" customHeight="1">
      <x:c r="A15" s="7" t="str">
        <x:v>3组</x:v>
      </x:c>
      <x:c r="B15" s="7" t="str">
        <x:v>运输电池C</x:v>
      </x:c>
      <x:c r="C15" s="7" t="n">
        <x:v>4</x:v>
      </x:c>
      <x:c r="D15" s="7" t="n">
        <x:v>5</x:v>
      </x:c>
      <x:c r="E15" s="7" t="n">
        <x:v>4</x:v>
      </x:c>
      <x:c r="F15" s="7" t="n">
        <x:v>1</x:v>
      </x:c>
      <x:c r="G15" s="7" t="n">
        <x:v>0</x:v>
      </x:c>
      <x:c r="H15" s="7" t="n">
        <x:v>1</x:v>
      </x:c>
    </x:row>
    <x:row r="16" ht="23" customHeight="1">
      <x:c r="A16" s="2" t="str">
        <x:v>3组</x:v>
      </x:c>
      <x:c r="B16" s="2" t="str">
        <x:v>中继无人机</x:v>
      </x:c>
      <x:c r="C16" s="2" t="n">
        <x:v>2</x:v>
      </x:c>
      <x:c r="D16" s="2" t="n">
        <x:v>4</x:v>
      </x:c>
      <x:c r="E16" s="2" t="n">
        <x:v>2</x:v>
      </x:c>
      <x:c r="F16" s="2" t="n">
        <x:v>2</x:v>
      </x:c>
      <x:c r="G16" s="2" t="n">
        <x:v>0</x:v>
      </x:c>
      <x:c r="H16" s="2" t="n">
        <x:v>2</x:v>
      </x:c>
    </x:row>
    <x:row r="17" ht="23" customHeight="1">
      <x:c r="A17" s="7" t="str">
        <x:v>3组</x:v>
      </x:c>
      <x:c r="B17" s="7" t="str">
        <x:v>中继能源组件</x:v>
      </x:c>
      <x:c r="C17" s="7" t="n">
        <x:v>3</x:v>
      </x:c>
      <x:c r="D17" s="7" t="n">
        <x:v>6</x:v>
      </x:c>
      <x:c r="E17" s="7" t="n">
        <x:v>6</x:v>
      </x:c>
      <x:c r="F17" s="7" t="n">
        <x:v>3</x:v>
      </x:c>
      <x:c r="G17" s="7" t="n">
        <x:v>0</x:v>
      </x:c>
      <x:c r="H17" s="7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FA8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6" hidden="0" customWidth="1"/>
    <x:col min="4" max="4" width="17" hidden="0" customWidth="1"/>
    <x:col min="5" max="5" width="18" hidden="0" customWidth="1"/>
    <x:col min="6" max="6" width="28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2" customHeight="1">
      <x:c r="A1" s="6" t="str">
        <x:v>scenario</x:v>
      </x:c>
      <x:c r="B1" s="6" t="str">
        <x:v>group_id</x:v>
      </x:c>
      <x:c r="C1" s="6" t="str">
        <x:v>task_class</x:v>
      </x:c>
      <x:c r="D1" s="6" t="str">
        <x:v>task_id</x:v>
      </x:c>
      <x:c r="E1" s="6" t="str">
        <x:v>resource_class</x:v>
      </x:c>
      <x:c r="F1" s="6" t="str">
        <x:v>local_resource_id</x:v>
      </x:c>
      <x:c r="G1" s="6" t="str">
        <x:v>occupied_start_s</x:v>
      </x:c>
      <x:c r="H1" s="6" t="str">
        <x:v>occupied_end_s</x:v>
      </x:c>
      <x:c r="I1" s="6" t="str">
        <x:v>available_again_s</x:v>
      </x:c>
    </x:row>
    <x:row r="2" ht="23" customHeight="1">
      <x:c r="A2" s="2" t="str">
        <x:v>2组</x:v>
      </x:c>
      <x:c r="B2" s="2" t="str">
        <x:v>G1</x:v>
      </x:c>
      <x:c r="C2" s="2" t="str">
        <x:v>运输架次</x:v>
      </x:c>
      <x:c r="D2" s="2" t="str">
        <x:v>Q3-T-001</x:v>
      </x:c>
      <x:c r="E2" s="2" t="str">
        <x:v>运输机A</x:v>
      </x:c>
      <x:c r="F2" s="2" t="str">
        <x:v>2组-G1-UA-01</x:v>
      </x:c>
      <x:c r="G2" s="8" t="n">
        <x:v>0</x:v>
      </x:c>
      <x:c r="H2" s="8" t="n">
        <x:v>1727.46688583</x:v>
      </x:c>
      <x:c r="I2" s="8" t="n">
        <x:v>1727.46688583</x:v>
      </x:c>
    </x:row>
    <x:row r="3" ht="23" customHeight="1">
      <x:c r="A3" s="7" t="str">
        <x:v>2组</x:v>
      </x:c>
      <x:c r="B3" s="7" t="str">
        <x:v>G1</x:v>
      </x:c>
      <x:c r="C3" s="7" t="str">
        <x:v>运输架次</x:v>
      </x:c>
      <x:c r="D3" s="7" t="str">
        <x:v>Q3-T-001</x:v>
      </x:c>
      <x:c r="E3" s="7" t="str">
        <x:v>运输电池A</x:v>
      </x:c>
      <x:c r="F3" s="7" t="str">
        <x:v>2组-G1-BATA-01</x:v>
      </x:c>
      <x:c r="G3" s="9" t="n">
        <x:v>0</x:v>
      </x:c>
      <x:c r="H3" s="9" t="n">
        <x:v>1727.46688583</x:v>
      </x:c>
      <x:c r="I3" s="9" t="n">
        <x:v>2777.91095035</x:v>
      </x:c>
    </x:row>
    <x:row r="4" ht="23" customHeight="1">
      <x:c r="A4" s="2" t="str">
        <x:v>2组</x:v>
      </x:c>
      <x:c r="B4" s="2" t="str">
        <x:v>G1</x:v>
      </x:c>
      <x:c r="C4" s="2" t="str">
        <x:v>运输架次</x:v>
      </x:c>
      <x:c r="D4" s="2" t="str">
        <x:v>Q3-T-003</x:v>
      </x:c>
      <x:c r="E4" s="2" t="str">
        <x:v>运输机A</x:v>
      </x:c>
      <x:c r="F4" s="2" t="str">
        <x:v>2组-G1-UA-02</x:v>
      </x:c>
      <x:c r="G4" s="8" t="n">
        <x:v>5.4094540827</x:v>
      </x:c>
      <x:c r="H4" s="8" t="n">
        <x:v>2009.18466254</x:v>
      </x:c>
      <x:c r="I4" s="8" t="n">
        <x:v>2009.18466254</x:v>
      </x:c>
    </x:row>
    <x:row r="5" ht="23" customHeight="1">
      <x:c r="A5" s="7" t="str">
        <x:v>2组</x:v>
      </x:c>
      <x:c r="B5" s="7" t="str">
        <x:v>G1</x:v>
      </x:c>
      <x:c r="C5" s="7" t="str">
        <x:v>运输架次</x:v>
      </x:c>
      <x:c r="D5" s="7" t="str">
        <x:v>Q3-T-003</x:v>
      </x:c>
      <x:c r="E5" s="7" t="str">
        <x:v>运输电池A</x:v>
      </x:c>
      <x:c r="F5" s="7" t="str">
        <x:v>2组-G1-BATA-02</x:v>
      </x:c>
      <x:c r="G5" s="9" t="n">
        <x:v>5.4094540827</x:v>
      </x:c>
      <x:c r="H5" s="9" t="n">
        <x:v>2009.18466254</x:v>
      </x:c>
      <x:c r="I5" s="9" t="n">
        <x:v>3352.745327</x:v>
      </x:c>
    </x:row>
    <x:row r="6" ht="23" customHeight="1">
      <x:c r="A6" s="2" t="str">
        <x:v>2组</x:v>
      </x:c>
      <x:c r="B6" s="2" t="str">
        <x:v>G1</x:v>
      </x:c>
      <x:c r="C6" s="2" t="str">
        <x:v>运输架次</x:v>
      </x:c>
      <x:c r="D6" s="2" t="str">
        <x:v>Q3-T-006</x:v>
      </x:c>
      <x:c r="E6" s="2" t="str">
        <x:v>运输机B</x:v>
      </x:c>
      <x:c r="F6" s="2" t="str">
        <x:v>2组-G1-UB-01</x:v>
      </x:c>
      <x:c r="G6" s="8" t="n">
        <x:v>0</x:v>
      </x:c>
      <x:c r="H6" s="8" t="n">
        <x:v>1207.27001136</x:v>
      </x:c>
      <x:c r="I6" s="8" t="n">
        <x:v>1207.27001136</x:v>
      </x:c>
    </x:row>
    <x:row r="7" ht="23" customHeight="1">
      <x:c r="A7" s="7" t="str">
        <x:v>2组</x:v>
      </x:c>
      <x:c r="B7" s="7" t="str">
        <x:v>G1</x:v>
      </x:c>
      <x:c r="C7" s="7" t="str">
        <x:v>运输架次</x:v>
      </x:c>
      <x:c r="D7" s="7" t="str">
        <x:v>Q3-T-006</x:v>
      </x:c>
      <x:c r="E7" s="7" t="str">
        <x:v>运输电池B</x:v>
      </x:c>
      <x:c r="F7" s="7" t="str">
        <x:v>2组-G1-BATB-01</x:v>
      </x:c>
      <x:c r="G7" s="9" t="n">
        <x:v>0</x:v>
      </x:c>
      <x:c r="H7" s="9" t="n">
        <x:v>1207.27001136</x:v>
      </x:c>
      <x:c r="I7" s="9" t="n">
        <x:v>2350.06050597</x:v>
      </x:c>
    </x:row>
    <x:row r="8" ht="23" customHeight="1">
      <x:c r="A8" s="2" t="str">
        <x:v>2组</x:v>
      </x:c>
      <x:c r="B8" s="2" t="str">
        <x:v>G1</x:v>
      </x:c>
      <x:c r="C8" s="2" t="str">
        <x:v>运输架次</x:v>
      </x:c>
      <x:c r="D8" s="2" t="str">
        <x:v>Q3-T-009</x:v>
      </x:c>
      <x:c r="E8" s="2" t="str">
        <x:v>运输机B</x:v>
      </x:c>
      <x:c r="F8" s="2" t="str">
        <x:v>2组-G1-UB-01</x:v>
      </x:c>
      <x:c r="G8" s="8" t="n">
        <x:v>1212.67946544</x:v>
      </x:c>
      <x:c r="H8" s="8" t="n">
        <x:v>2723.19105422</x:v>
      </x:c>
      <x:c r="I8" s="8" t="n">
        <x:v>2723.19105422</x:v>
      </x:c>
    </x:row>
    <x:row r="9" ht="23" customHeight="1">
      <x:c r="A9" s="7" t="str">
        <x:v>2组</x:v>
      </x:c>
      <x:c r="B9" s="7" t="str">
        <x:v>G1</x:v>
      </x:c>
      <x:c r="C9" s="7" t="str">
        <x:v>运输架次</x:v>
      </x:c>
      <x:c r="D9" s="7" t="str">
        <x:v>Q3-T-009</x:v>
      </x:c>
      <x:c r="E9" s="7" t="str">
        <x:v>运输电池B</x:v>
      </x:c>
      <x:c r="F9" s="7" t="str">
        <x:v>2组-G1-BATB-02</x:v>
      </x:c>
      <x:c r="G9" s="9" t="n">
        <x:v>1212.67946544</x:v>
      </x:c>
      <x:c r="H9" s="9" t="n">
        <x:v>2723.19105422</x:v>
      </x:c>
      <x:c r="I9" s="9" t="n">
        <x:v>4180.61660375</x:v>
      </x:c>
    </x:row>
    <x:row r="10" ht="23" customHeight="1">
      <x:c r="A10" s="2" t="str">
        <x:v>2组</x:v>
      </x:c>
      <x:c r="B10" s="2" t="str">
        <x:v>G1</x:v>
      </x:c>
      <x:c r="C10" s="2" t="str">
        <x:v>运输架次</x:v>
      </x:c>
      <x:c r="D10" s="2" t="str">
        <x:v>Q3-T-014</x:v>
      </x:c>
      <x:c r="E10" s="2" t="str">
        <x:v>运输机B</x:v>
      </x:c>
      <x:c r="F10" s="2" t="str">
        <x:v>2组-G1-UB-01</x:v>
      </x:c>
      <x:c r="G10" s="8" t="n">
        <x:v>2923.73586055</x:v>
      </x:c>
      <x:c r="H10" s="8" t="n">
        <x:v>4752.06342071</x:v>
      </x:c>
      <x:c r="I10" s="8" t="n">
        <x:v>4752.06342071</x:v>
      </x:c>
    </x:row>
    <x:row r="11" ht="23" customHeight="1">
      <x:c r="A11" s="7" t="str">
        <x:v>2组</x:v>
      </x:c>
      <x:c r="B11" s="7" t="str">
        <x:v>G1</x:v>
      </x:c>
      <x:c r="C11" s="7" t="str">
        <x:v>运输架次</x:v>
      </x:c>
      <x:c r="D11" s="7" t="str">
        <x:v>Q3-T-014</x:v>
      </x:c>
      <x:c r="E11" s="7" t="str">
        <x:v>运输电池B</x:v>
      </x:c>
      <x:c r="F11" s="7" t="str">
        <x:v>2组-G1-BATB-01</x:v>
      </x:c>
      <x:c r="G11" s="9" t="n">
        <x:v>2923.73586055</x:v>
      </x:c>
      <x:c r="H11" s="9" t="n">
        <x:v>4752.06342071</x:v>
      </x:c>
      <x:c r="I11" s="9" t="n">
        <x:v>6418.65910651</x:v>
      </x:c>
    </x:row>
    <x:row r="12" ht="23" customHeight="1">
      <x:c r="A12" s="2" t="str">
        <x:v>2组</x:v>
      </x:c>
      <x:c r="B12" s="2" t="str">
        <x:v>G1</x:v>
      </x:c>
      <x:c r="C12" s="2" t="str">
        <x:v>运输架次</x:v>
      </x:c>
      <x:c r="D12" s="2" t="str">
        <x:v>Q3-T-017</x:v>
      </x:c>
      <x:c r="E12" s="2" t="str">
        <x:v>运输机B</x:v>
      </x:c>
      <x:c r="F12" s="2" t="str">
        <x:v>2组-G1-UB-01</x:v>
      </x:c>
      <x:c r="G12" s="8" t="n">
        <x:v>4752.06342071</x:v>
      </x:c>
      <x:c r="H12" s="8" t="n">
        <x:v>5940.48818355</x:v>
      </x:c>
      <x:c r="I12" s="8" t="n">
        <x:v>5940.48818355</x:v>
      </x:c>
    </x:row>
    <x:row r="13" ht="23" customHeight="1">
      <x:c r="A13" s="7" t="str">
        <x:v>2组</x:v>
      </x:c>
      <x:c r="B13" s="7" t="str">
        <x:v>G1</x:v>
      </x:c>
      <x:c r="C13" s="7" t="str">
        <x:v>运输架次</x:v>
      </x:c>
      <x:c r="D13" s="7" t="str">
        <x:v>Q3-T-017</x:v>
      </x:c>
      <x:c r="E13" s="7" t="str">
        <x:v>运输电池B</x:v>
      </x:c>
      <x:c r="F13" s="7" t="str">
        <x:v>2组-G1-BATB-02</x:v>
      </x:c>
      <x:c r="G13" s="9" t="n">
        <x:v>4752.06342071</x:v>
      </x:c>
      <x:c r="H13" s="9" t="n">
        <x:v>5940.48818355</x:v>
      </x:c>
      <x:c r="I13" s="9" t="n">
        <x:v>7072.52741426</x:v>
      </x:c>
    </x:row>
    <x:row r="14" ht="23" customHeight="1">
      <x:c r="A14" s="2" t="str">
        <x:v>2组</x:v>
      </x:c>
      <x:c r="B14" s="2" t="str">
        <x:v>G1</x:v>
      </x:c>
      <x:c r="C14" s="2" t="str">
        <x:v>运输架次</x:v>
      </x:c>
      <x:c r="D14" s="2" t="str">
        <x:v>Q3-T-007</x:v>
      </x:c>
      <x:c r="E14" s="2" t="str">
        <x:v>运输机C</x:v>
      </x:c>
      <x:c r="F14" s="2" t="str">
        <x:v>2组-G1-UC-01</x:v>
      </x:c>
      <x:c r="G14" s="8" t="n">
        <x:v>5.4094540827</x:v>
      </x:c>
      <x:c r="H14" s="8" t="n">
        <x:v>2113.25162013</x:v>
      </x:c>
      <x:c r="I14" s="8" t="n">
        <x:v>2113.25162013</x:v>
      </x:c>
    </x:row>
    <x:row r="15" ht="23" customHeight="1">
      <x:c r="A15" s="7" t="str">
        <x:v>2组</x:v>
      </x:c>
      <x:c r="B15" s="7" t="str">
        <x:v>G1</x:v>
      </x:c>
      <x:c r="C15" s="7" t="str">
        <x:v>运输架次</x:v>
      </x:c>
      <x:c r="D15" s="7" t="str">
        <x:v>Q3-T-007</x:v>
      </x:c>
      <x:c r="E15" s="7" t="str">
        <x:v>运输电池C</x:v>
      </x:c>
      <x:c r="F15" s="7" t="str">
        <x:v>2组-G1-BATC-01</x:v>
      </x:c>
      <x:c r="G15" s="9" t="n">
        <x:v>5.4094540827</x:v>
      </x:c>
      <x:c r="H15" s="9" t="n">
        <x:v>2113.25162013</x:v>
      </x:c>
      <x:c r="I15" s="9" t="n">
        <x:v>4600.23829484</x:v>
      </x:c>
    </x:row>
    <x:row r="16" ht="23" customHeight="1">
      <x:c r="A16" s="2" t="str">
        <x:v>2组</x:v>
      </x:c>
      <x:c r="B16" s="2" t="str">
        <x:v>G1</x:v>
      </x:c>
      <x:c r="C16" s="2" t="str">
        <x:v>运输架次</x:v>
      </x:c>
      <x:c r="D16" s="2" t="str">
        <x:v>Q3-T-013</x:v>
      </x:c>
      <x:c r="E16" s="2" t="str">
        <x:v>运输机C</x:v>
      </x:c>
      <x:c r="F16" s="2" t="str">
        <x:v>2组-G1-UC-01</x:v>
      </x:c>
      <x:c r="G16" s="8" t="n">
        <x:v>3690.05892162</x:v>
      </x:c>
      <x:c r="H16" s="8" t="n">
        <x:v>5991.11364043</x:v>
      </x:c>
      <x:c r="I16" s="8" t="n">
        <x:v>5991.11364043</x:v>
      </x:c>
    </x:row>
    <x:row r="17" ht="23" customHeight="1">
      <x:c r="A17" s="7" t="str">
        <x:v>2组</x:v>
      </x:c>
      <x:c r="B17" s="7" t="str">
        <x:v>G1</x:v>
      </x:c>
      <x:c r="C17" s="7" t="str">
        <x:v>运输架次</x:v>
      </x:c>
      <x:c r="D17" s="7" t="str">
        <x:v>Q3-T-013</x:v>
      </x:c>
      <x:c r="E17" s="7" t="str">
        <x:v>运输电池C</x:v>
      </x:c>
      <x:c r="F17" s="7" t="str">
        <x:v>2组-G1-BATC-02</x:v>
      </x:c>
      <x:c r="G17" s="9" t="n">
        <x:v>3690.05892162</x:v>
      </x:c>
      <x:c r="H17" s="9" t="n">
        <x:v>5991.11364043</x:v>
      </x:c>
      <x:c r="I17" s="9" t="n">
        <x:v>8490.84659202</x:v>
      </x:c>
    </x:row>
    <x:row r="18" ht="23" customHeight="1">
      <x:c r="A18" s="2" t="str">
        <x:v>2组</x:v>
      </x:c>
      <x:c r="B18" s="2" t="str">
        <x:v>G1</x:v>
      </x:c>
      <x:c r="C18" s="2" t="str">
        <x:v>运输架次</x:v>
      </x:c>
      <x:c r="D18" s="2" t="str">
        <x:v>Q3-T-018</x:v>
      </x:c>
      <x:c r="E18" s="2" t="str">
        <x:v>运输机C</x:v>
      </x:c>
      <x:c r="F18" s="2" t="str">
        <x:v>2组-G1-UC-01</x:v>
      </x:c>
      <x:c r="G18" s="8" t="n">
        <x:v>5991.11364043</x:v>
      </x:c>
      <x:c r="H18" s="8" t="n">
        <x:v>7868.30235596</x:v>
      </x:c>
      <x:c r="I18" s="8" t="n">
        <x:v>7868.30235596</x:v>
      </x:c>
    </x:row>
    <x:row r="19" ht="23" customHeight="1">
      <x:c r="A19" s="7" t="str">
        <x:v>2组</x:v>
      </x:c>
      <x:c r="B19" s="7" t="str">
        <x:v>G1</x:v>
      </x:c>
      <x:c r="C19" s="7" t="str">
        <x:v>运输架次</x:v>
      </x:c>
      <x:c r="D19" s="7" t="str">
        <x:v>Q3-T-018</x:v>
      </x:c>
      <x:c r="E19" s="7" t="str">
        <x:v>运输电池C</x:v>
      </x:c>
      <x:c r="F19" s="7" t="str">
        <x:v>2组-G1-BATC-01</x:v>
      </x:c>
      <x:c r="G19" s="9" t="n">
        <x:v>5991.11364043</x:v>
      </x:c>
      <x:c r="H19" s="9" t="n">
        <x:v>7868.30235596</x:v>
      </x:c>
      <x:c r="I19" s="9" t="n">
        <x:v>9845.13122791</x:v>
      </x:c>
    </x:row>
    <x:row r="20" ht="23" customHeight="1">
      <x:c r="A20" s="2" t="str">
        <x:v>2组</x:v>
      </x:c>
      <x:c r="B20" s="2" t="str">
        <x:v>G1</x:v>
      </x:c>
      <x:c r="C20" s="2" t="str">
        <x:v>运输架次</x:v>
      </x:c>
      <x:c r="D20" s="2" t="str">
        <x:v>Q3-T-021</x:v>
      </x:c>
      <x:c r="E20" s="2" t="str">
        <x:v>运输机C</x:v>
      </x:c>
      <x:c r="F20" s="2" t="str">
        <x:v>2组-G1-UC-01</x:v>
      </x:c>
      <x:c r="G20" s="8" t="n">
        <x:v>8490.84659202</x:v>
      </x:c>
      <x:c r="H20" s="8" t="n">
        <x:v>10904.4270418</x:v>
      </x:c>
      <x:c r="I20" s="8" t="n">
        <x:v>10904.4270418</x:v>
      </x:c>
    </x:row>
    <x:row r="21" ht="23" customHeight="1">
      <x:c r="A21" s="7" t="str">
        <x:v>2组</x:v>
      </x:c>
      <x:c r="B21" s="7" t="str">
        <x:v>G1</x:v>
      </x:c>
      <x:c r="C21" s="7" t="str">
        <x:v>运输架次</x:v>
      </x:c>
      <x:c r="D21" s="7" t="str">
        <x:v>Q3-T-021</x:v>
      </x:c>
      <x:c r="E21" s="7" t="str">
        <x:v>运输电池C</x:v>
      </x:c>
      <x:c r="F21" s="7" t="str">
        <x:v>2组-G1-BATC-02</x:v>
      </x:c>
      <x:c r="G21" s="9" t="n">
        <x:v>8490.84659202</x:v>
      </x:c>
      <x:c r="H21" s="9" t="n">
        <x:v>10904.4270418</x:v>
      </x:c>
      <x:c r="I21" s="9" t="n">
        <x:v>12899.1064749</x:v>
      </x:c>
    </x:row>
    <x:row r="22" ht="23" customHeight="1">
      <x:c r="A22" s="2" t="str">
        <x:v>2组</x:v>
      </x:c>
      <x:c r="B22" s="2" t="str">
        <x:v>G1</x:v>
      </x:c>
      <x:c r="C22" s="2" t="str">
        <x:v>中继架次</x:v>
      </x:c>
      <x:c r="D22" s="2" t="str">
        <x:v>Q3-R-001</x:v>
      </x:c>
      <x:c r="E22" s="2" t="str">
        <x:v>中继无人机</x:v>
      </x:c>
      <x:c r="F22" s="2" t="str">
        <x:v>2组-G1-R-01</x:v>
      </x:c>
      <x:c r="G22" s="8" t="n">
        <x:v>1</x:v>
      </x:c>
      <x:c r="H22" s="8" t="n">
        <x:v>3608.87268139</x:v>
      </x:c>
      <x:c r="I22" s="8" t="n">
        <x:v>3908.87268139</x:v>
      </x:c>
    </x:row>
    <x:row r="23" ht="23" customHeight="1">
      <x:c r="A23" s="7" t="str">
        <x:v>2组</x:v>
      </x:c>
      <x:c r="B23" s="7" t="str">
        <x:v>G1</x:v>
      </x:c>
      <x:c r="C23" s="7" t="str">
        <x:v>中继架次</x:v>
      </x:c>
      <x:c r="D23" s="7" t="str">
        <x:v>Q3-R-001</x:v>
      </x:c>
      <x:c r="E23" s="7" t="str">
        <x:v>中继能源组件</x:v>
      </x:c>
      <x:c r="F23" s="7" t="str">
        <x:v>2组-G1-RE-01</x:v>
      </x:c>
      <x:c r="G23" s="9" t="n">
        <x:v>1</x:v>
      </x:c>
      <x:c r="H23" s="9" t="n">
        <x:v>3608.87268139</x:v>
      </x:c>
      <x:c r="I23" s="9" t="n">
        <x:v>4514.10659103</x:v>
      </x:c>
    </x:row>
    <x:row r="24" ht="23" customHeight="1">
      <x:c r="A24" s="2" t="str">
        <x:v>2组</x:v>
      </x:c>
      <x:c r="B24" s="2" t="str">
        <x:v>G1</x:v>
      </x:c>
      <x:c r="C24" s="2" t="str">
        <x:v>中继架次</x:v>
      </x:c>
      <x:c r="D24" s="2" t="str">
        <x:v>Q3-R-002</x:v>
      </x:c>
      <x:c r="E24" s="2" t="str">
        <x:v>中继无人机</x:v>
      </x:c>
      <x:c r="F24" s="2" t="str">
        <x:v>2组-G1-R-02</x:v>
      </x:c>
      <x:c r="G24" s="8" t="n">
        <x:v>146.631332823</x:v>
      </x:c>
      <x:c r="H24" s="8" t="n">
        <x:v>1746.31795815</x:v>
      </x:c>
      <x:c r="I24" s="8" t="n">
        <x:v>2046.31795815</x:v>
      </x:c>
    </x:row>
    <x:row r="25" ht="23" customHeight="1">
      <x:c r="A25" s="7" t="str">
        <x:v>2组</x:v>
      </x:c>
      <x:c r="B25" s="7" t="str">
        <x:v>G1</x:v>
      </x:c>
      <x:c r="C25" s="7" t="str">
        <x:v>中继架次</x:v>
      </x:c>
      <x:c r="D25" s="7" t="str">
        <x:v>Q3-R-002</x:v>
      </x:c>
      <x:c r="E25" s="7" t="str">
        <x:v>中继能源组件</x:v>
      </x:c>
      <x:c r="F25" s="7" t="str">
        <x:v>2组-G1-RE-02</x:v>
      </x:c>
      <x:c r="G25" s="9" t="n">
        <x:v>146.631332823</x:v>
      </x:c>
      <x:c r="H25" s="9" t="n">
        <x:v>1746.31795815</x:v>
      </x:c>
      <x:c r="I25" s="9" t="n">
        <x:v>2401.99376373</x:v>
      </x:c>
    </x:row>
    <x:row r="26" ht="23" customHeight="1">
      <x:c r="A26" s="2" t="str">
        <x:v>2组</x:v>
      </x:c>
      <x:c r="B26" s="2" t="str">
        <x:v>G1</x:v>
      </x:c>
      <x:c r="C26" s="2" t="str">
        <x:v>中继架次</x:v>
      </x:c>
      <x:c r="D26" s="2" t="str">
        <x:v>Q3-R-003</x:v>
      </x:c>
      <x:c r="E26" s="2" t="str">
        <x:v>中继无人机</x:v>
      </x:c>
      <x:c r="F26" s="2" t="str">
        <x:v>2组-G1-R-02</x:v>
      </x:c>
      <x:c r="G26" s="8" t="n">
        <x:v>2047.31795815</x:v>
      </x:c>
      <x:c r="H26" s="8" t="n">
        <x:v>8019.43159858</x:v>
      </x:c>
      <x:c r="I26" s="8" t="n">
        <x:v>8319.43159858</x:v>
      </x:c>
    </x:row>
    <x:row r="27" ht="23" customHeight="1">
      <x:c r="A27" s="7" t="str">
        <x:v>2组</x:v>
      </x:c>
      <x:c r="B27" s="7" t="str">
        <x:v>G1</x:v>
      </x:c>
      <x:c r="C27" s="7" t="str">
        <x:v>中继架次</x:v>
      </x:c>
      <x:c r="D27" s="7" t="str">
        <x:v>Q3-R-003</x:v>
      </x:c>
      <x:c r="E27" s="7" t="str">
        <x:v>中继能源组件</x:v>
      </x:c>
      <x:c r="F27" s="7" t="str">
        <x:v>2组-G1-RE-03</x:v>
      </x:c>
      <x:c r="G27" s="9" t="n">
        <x:v>2047.31795815</x:v>
      </x:c>
      <x:c r="H27" s="9" t="n">
        <x:v>8019.43159858</x:v>
      </x:c>
      <x:c r="I27" s="9" t="n">
        <x:v>9217.86527148</x:v>
      </x:c>
    </x:row>
    <x:row r="28" ht="23" customHeight="1">
      <x:c r="A28" s="2" t="str">
        <x:v>2组</x:v>
      </x:c>
      <x:c r="B28" s="2" t="str">
        <x:v>G1</x:v>
      </x:c>
      <x:c r="C28" s="2" t="str">
        <x:v>中继架次</x:v>
      </x:c>
      <x:c r="D28" s="2" t="str">
        <x:v>Q3-R-004</x:v>
      </x:c>
      <x:c r="E28" s="2" t="str">
        <x:v>中继无人机</x:v>
      </x:c>
      <x:c r="F28" s="2" t="str">
        <x:v>2组-G1-R-01</x:v>
      </x:c>
      <x:c r="G28" s="8" t="n">
        <x:v>3909.87268139</x:v>
      </x:c>
      <x:c r="H28" s="8" t="n">
        <x:v>6055.15734599</x:v>
      </x:c>
      <x:c r="I28" s="8" t="n">
        <x:v>6355.15734599</x:v>
      </x:c>
    </x:row>
    <x:row r="29" ht="23" customHeight="1">
      <x:c r="A29" s="7" t="str">
        <x:v>2组</x:v>
      </x:c>
      <x:c r="B29" s="7" t="str">
        <x:v>G1</x:v>
      </x:c>
      <x:c r="C29" s="7" t="str">
        <x:v>中继架次</x:v>
      </x:c>
      <x:c r="D29" s="7" t="str">
        <x:v>Q3-R-004</x:v>
      </x:c>
      <x:c r="E29" s="7" t="str">
        <x:v>中继能源组件</x:v>
      </x:c>
      <x:c r="F29" s="7" t="str">
        <x:v>2组-G1-RE-02</x:v>
      </x:c>
      <x:c r="G29" s="9" t="n">
        <x:v>3909.87268139</x:v>
      </x:c>
      <x:c r="H29" s="9" t="n">
        <x:v>6055.15734599</x:v>
      </x:c>
      <x:c r="I29" s="9" t="n">
        <x:v>6782.21447044</x:v>
      </x:c>
    </x:row>
    <x:row r="30" ht="23" customHeight="1">
      <x:c r="A30" s="2" t="str">
        <x:v>2组</x:v>
      </x:c>
      <x:c r="B30" s="2" t="str">
        <x:v>G1</x:v>
      </x:c>
      <x:c r="C30" s="2" t="str">
        <x:v>中继架次</x:v>
      </x:c>
      <x:c r="D30" s="2" t="str">
        <x:v>Q3-R-005</x:v>
      </x:c>
      <x:c r="E30" s="2" t="str">
        <x:v>中继无人机</x:v>
      </x:c>
      <x:c r="F30" s="2" t="str">
        <x:v>2组-G1-R-01</x:v>
      </x:c>
      <x:c r="G30" s="8" t="n">
        <x:v>9213.47792484</x:v>
      </x:c>
      <x:c r="H30" s="8" t="n">
        <x:v>10951.1645502</x:v>
      </x:c>
      <x:c r="I30" s="8" t="n">
        <x:v>11251.1645502</x:v>
      </x:c>
    </x:row>
    <x:row r="31" ht="23" customHeight="1">
      <x:c r="A31" s="7" t="str">
        <x:v>2组</x:v>
      </x:c>
      <x:c r="B31" s="7" t="str">
        <x:v>G1</x:v>
      </x:c>
      <x:c r="C31" s="7" t="str">
        <x:v>中继架次</x:v>
      </x:c>
      <x:c r="D31" s="7" t="str">
        <x:v>Q3-R-005</x:v>
      </x:c>
      <x:c r="E31" s="7" t="str">
        <x:v>中继能源组件</x:v>
      </x:c>
      <x:c r="F31" s="7" t="str">
        <x:v>2组-G1-RE-01</x:v>
      </x:c>
      <x:c r="G31" s="9" t="n">
        <x:v>9213.47792484</x:v>
      </x:c>
      <x:c r="H31" s="9" t="n">
        <x:v>10951.1645502</x:v>
      </x:c>
      <x:c r="I31" s="9" t="n">
        <x:v>11623.9705641</x:v>
      </x:c>
    </x:row>
    <x:row r="32" ht="23" customHeight="1">
      <x:c r="A32" s="2" t="str">
        <x:v>2组</x:v>
      </x:c>
      <x:c r="B32" s="2" t="str">
        <x:v>G2</x:v>
      </x:c>
      <x:c r="C32" s="2" t="str">
        <x:v>运输架次</x:v>
      </x:c>
      <x:c r="D32" s="2" t="str">
        <x:v>Q3-T-002</x:v>
      </x:c>
      <x:c r="E32" s="2" t="str">
        <x:v>运输机A</x:v>
      </x:c>
      <x:c r="F32" s="2" t="str">
        <x:v>2组-G2-UA-02</x:v>
      </x:c>
      <x:c r="G32" s="8" t="n">
        <x:v>5.4094540827</x:v>
      </x:c>
      <x:c r="H32" s="8" t="n">
        <x:v>1995.80833937</x:v>
      </x:c>
      <x:c r="I32" s="8" t="n">
        <x:v>1995.80833937</x:v>
      </x:c>
    </x:row>
    <x:row r="33" ht="23" customHeight="1">
      <x:c r="A33" s="7" t="str">
        <x:v>2组</x:v>
      </x:c>
      <x:c r="B33" s="7" t="str">
        <x:v>G2</x:v>
      </x:c>
      <x:c r="C33" s="7" t="str">
        <x:v>运输架次</x:v>
      </x:c>
      <x:c r="D33" s="7" t="str">
        <x:v>Q3-T-002</x:v>
      </x:c>
      <x:c r="E33" s="7" t="str">
        <x:v>运输电池A</x:v>
      </x:c>
      <x:c r="F33" s="7" t="str">
        <x:v>2组-G2-BATA-02</x:v>
      </x:c>
      <x:c r="G33" s="9" t="n">
        <x:v>5.4094540827</x:v>
      </x:c>
      <x:c r="H33" s="9" t="n">
        <x:v>1995.80833937</x:v>
      </x:c>
      <x:c r="I33" s="9" t="n">
        <x:v>3157.61763979</x:v>
      </x:c>
    </x:row>
    <x:row r="34" ht="23" customHeight="1">
      <x:c r="A34" s="2" t="str">
        <x:v>2组</x:v>
      </x:c>
      <x:c r="B34" s="2" t="str">
        <x:v>G2</x:v>
      </x:c>
      <x:c r="C34" s="2" t="str">
        <x:v>运输架次</x:v>
      </x:c>
      <x:c r="D34" s="2" t="str">
        <x:v>Q3-T-004</x:v>
      </x:c>
      <x:c r="E34" s="2" t="str">
        <x:v>运输机A</x:v>
      </x:c>
      <x:c r="F34" s="2" t="str">
        <x:v>2组-G2-UA-01</x:v>
      </x:c>
      <x:c r="G34" s="8" t="n">
        <x:v>5.4094540827</x:v>
      </x:c>
      <x:c r="H34" s="8" t="n">
        <x:v>1600.30212399</x:v>
      </x:c>
      <x:c r="I34" s="8" t="n">
        <x:v>1600.30212399</x:v>
      </x:c>
    </x:row>
    <x:row r="35" ht="23" customHeight="1">
      <x:c r="A35" s="7" t="str">
        <x:v>2组</x:v>
      </x:c>
      <x:c r="B35" s="7" t="str">
        <x:v>G2</x:v>
      </x:c>
      <x:c r="C35" s="7" t="str">
        <x:v>运输架次</x:v>
      </x:c>
      <x:c r="D35" s="7" t="str">
        <x:v>Q3-T-004</x:v>
      </x:c>
      <x:c r="E35" s="7" t="str">
        <x:v>运输电池A</x:v>
      </x:c>
      <x:c r="F35" s="7" t="str">
        <x:v>2组-G2-BATA-01</x:v>
      </x:c>
      <x:c r="G35" s="9" t="n">
        <x:v>5.4094540827</x:v>
      </x:c>
      <x:c r="H35" s="9" t="n">
        <x:v>1600.30212399</x:v>
      </x:c>
      <x:c r="I35" s="9" t="n">
        <x:v>2639.93644967</x:v>
      </x:c>
    </x:row>
    <x:row r="36" ht="23" customHeight="1">
      <x:c r="A36" s="2" t="str">
        <x:v>2组</x:v>
      </x:c>
      <x:c r="B36" s="2" t="str">
        <x:v>G2</x:v>
      </x:c>
      <x:c r="C36" s="2" t="str">
        <x:v>运输架次</x:v>
      </x:c>
      <x:c r="D36" s="2" t="str">
        <x:v>Q3-T-011</x:v>
      </x:c>
      <x:c r="E36" s="2" t="str">
        <x:v>运输机A</x:v>
      </x:c>
      <x:c r="F36" s="2" t="str">
        <x:v>2组-G2-UA-01</x:v>
      </x:c>
      <x:c r="G36" s="8" t="n">
        <x:v>1600.30212399</x:v>
      </x:c>
      <x:c r="H36" s="8" t="n">
        <x:v>3530.70100928</x:v>
      </x:c>
      <x:c r="I36" s="8" t="n">
        <x:v>3530.70100928</x:v>
      </x:c>
    </x:row>
    <x:row r="37" ht="23" customHeight="1">
      <x:c r="A37" s="7" t="str">
        <x:v>2组</x:v>
      </x:c>
      <x:c r="B37" s="7" t="str">
        <x:v>G2</x:v>
      </x:c>
      <x:c r="C37" s="7" t="str">
        <x:v>运输架次</x:v>
      </x:c>
      <x:c r="D37" s="7" t="str">
        <x:v>Q3-T-011</x:v>
      </x:c>
      <x:c r="E37" s="7" t="str">
        <x:v>运输电池A</x:v>
      </x:c>
      <x:c r="F37" s="7" t="str">
        <x:v>2组-G2-BATA-03</x:v>
      </x:c>
      <x:c r="G37" s="9" t="n">
        <x:v>1600.30212399</x:v>
      </x:c>
      <x:c r="H37" s="9" t="n">
        <x:v>3530.70100928</x:v>
      </x:c>
      <x:c r="I37" s="9" t="n">
        <x:v>4662.93221108</x:v>
      </x:c>
    </x:row>
    <x:row r="38" ht="23" customHeight="1">
      <x:c r="A38" s="2" t="str">
        <x:v>2组</x:v>
      </x:c>
      <x:c r="B38" s="2" t="str">
        <x:v>G2</x:v>
      </x:c>
      <x:c r="C38" s="2" t="str">
        <x:v>运输架次</x:v>
      </x:c>
      <x:c r="D38" s="2" t="str">
        <x:v>Q3-T-005</x:v>
      </x:c>
      <x:c r="E38" s="2" t="str">
        <x:v>运输机B</x:v>
      </x:c>
      <x:c r="F38" s="2" t="str">
        <x:v>2组-G2-UB-01</x:v>
      </x:c>
      <x:c r="G38" s="8" t="n">
        <x:v>0</x:v>
      </x:c>
      <x:c r="H38" s="8" t="n">
        <x:v>1209.10617589</x:v>
      </x:c>
      <x:c r="I38" s="8" t="n">
        <x:v>1209.10617589</x:v>
      </x:c>
    </x:row>
    <x:row r="39" ht="23" customHeight="1">
      <x:c r="A39" s="7" t="str">
        <x:v>2组</x:v>
      </x:c>
      <x:c r="B39" s="7" t="str">
        <x:v>G2</x:v>
      </x:c>
      <x:c r="C39" s="7" t="str">
        <x:v>运输架次</x:v>
      </x:c>
      <x:c r="D39" s="7" t="str">
        <x:v>Q3-T-005</x:v>
      </x:c>
      <x:c r="E39" s="7" t="str">
        <x:v>运输电池B</x:v>
      </x:c>
      <x:c r="F39" s="7" t="str">
        <x:v>2组-G2-BATB-01</x:v>
      </x:c>
      <x:c r="G39" s="9" t="n">
        <x:v>0</x:v>
      </x:c>
      <x:c r="H39" s="9" t="n">
        <x:v>1209.10617589</x:v>
      </x:c>
      <x:c r="I39" s="9" t="n">
        <x:v>2341.16082093</x:v>
      </x:c>
    </x:row>
    <x:row r="40" ht="23" customHeight="1">
      <x:c r="A40" s="2" t="str">
        <x:v>2组</x:v>
      </x:c>
      <x:c r="B40" s="2" t="str">
        <x:v>G2</x:v>
      </x:c>
      <x:c r="C40" s="2" t="str">
        <x:v>运输架次</x:v>
      </x:c>
      <x:c r="D40" s="2" t="str">
        <x:v>Q3-T-010</x:v>
      </x:c>
      <x:c r="E40" s="2" t="str">
        <x:v>运输机B</x:v>
      </x:c>
      <x:c r="F40" s="2" t="str">
        <x:v>2组-G2-UB-01</x:v>
      </x:c>
      <x:c r="G40" s="8" t="n">
        <x:v>1214.51562997</x:v>
      </x:c>
      <x:c r="H40" s="8" t="n">
        <x:v>3137.34244422</x:v>
      </x:c>
      <x:c r="I40" s="8" t="n">
        <x:v>3137.34244422</x:v>
      </x:c>
    </x:row>
    <x:row r="41" ht="23" customHeight="1">
      <x:c r="A41" s="7" t="str">
        <x:v>2组</x:v>
      </x:c>
      <x:c r="B41" s="7" t="str">
        <x:v>G2</x:v>
      </x:c>
      <x:c r="C41" s="7" t="str">
        <x:v>运输架次</x:v>
      </x:c>
      <x:c r="D41" s="7" t="str">
        <x:v>Q3-T-010</x:v>
      </x:c>
      <x:c r="E41" s="7" t="str">
        <x:v>运输电池B</x:v>
      </x:c>
      <x:c r="F41" s="7" t="str">
        <x:v>2组-G2-BATB-02</x:v>
      </x:c>
      <x:c r="G41" s="9" t="n">
        <x:v>1214.51562997</x:v>
      </x:c>
      <x:c r="H41" s="9" t="n">
        <x:v>3137.34244422</x:v>
      </x:c>
      <x:c r="I41" s="9" t="n">
        <x:v>4996.80242449</x:v>
      </x:c>
    </x:row>
    <x:row r="42" ht="23" customHeight="1">
      <x:c r="A42" s="2" t="str">
        <x:v>2组</x:v>
      </x:c>
      <x:c r="B42" s="2" t="str">
        <x:v>G2</x:v>
      </x:c>
      <x:c r="C42" s="2" t="str">
        <x:v>运输架次</x:v>
      </x:c>
      <x:c r="D42" s="2" t="str">
        <x:v>Q3-T-015</x:v>
      </x:c>
      <x:c r="E42" s="2" t="str">
        <x:v>运输机B</x:v>
      </x:c>
      <x:c r="F42" s="2" t="str">
        <x:v>2组-G2-UB-01</x:v>
      </x:c>
      <x:c r="G42" s="8" t="n">
        <x:v>3337.88725055</x:v>
      </x:c>
      <x:c r="H42" s="8" t="n">
        <x:v>4896.35011497</x:v>
      </x:c>
      <x:c r="I42" s="8" t="n">
        <x:v>4896.35011497</x:v>
      </x:c>
    </x:row>
    <x:row r="43" ht="23" customHeight="1">
      <x:c r="A43" s="7" t="str">
        <x:v>2组</x:v>
      </x:c>
      <x:c r="B43" s="7" t="str">
        <x:v>G2</x:v>
      </x:c>
      <x:c r="C43" s="7" t="str">
        <x:v>运输架次</x:v>
      </x:c>
      <x:c r="D43" s="7" t="str">
        <x:v>Q3-T-015</x:v>
      </x:c>
      <x:c r="E43" s="7" t="str">
        <x:v>运输电池B</x:v>
      </x:c>
      <x:c r="F43" s="7" t="str">
        <x:v>2组-G2-BATB-01</x:v>
      </x:c>
      <x:c r="G43" s="9" t="n">
        <x:v>3337.88725055</x:v>
      </x:c>
      <x:c r="H43" s="9" t="n">
        <x:v>4896.35011497</x:v>
      </x:c>
      <x:c r="I43" s="9" t="n">
        <x:v>6471.39845579</x:v>
      </x:c>
    </x:row>
    <x:row r="44" ht="23" customHeight="1">
      <x:c r="A44" s="2" t="str">
        <x:v>2组</x:v>
      </x:c>
      <x:c r="B44" s="2" t="str">
        <x:v>G2</x:v>
      </x:c>
      <x:c r="C44" s="2" t="str">
        <x:v>运输架次</x:v>
      </x:c>
      <x:c r="D44" s="2" t="str">
        <x:v>Q3-T-019</x:v>
      </x:c>
      <x:c r="E44" s="2" t="str">
        <x:v>运输机B</x:v>
      </x:c>
      <x:c r="F44" s="2" t="str">
        <x:v>2组-G2-UB-01</x:v>
      </x:c>
      <x:c r="G44" s="8" t="n">
        <x:v>5197.34723082</x:v>
      </x:c>
      <x:c r="H44" s="8" t="n">
        <x:v>7217.95689592</x:v>
      </x:c>
      <x:c r="I44" s="8" t="n">
        <x:v>7217.95689592</x:v>
      </x:c>
    </x:row>
    <x:row r="45" ht="23" customHeight="1">
      <x:c r="A45" s="7" t="str">
        <x:v>2组</x:v>
      </x:c>
      <x:c r="B45" s="7" t="str">
        <x:v>G2</x:v>
      </x:c>
      <x:c r="C45" s="7" t="str">
        <x:v>运输架次</x:v>
      </x:c>
      <x:c r="D45" s="7" t="str">
        <x:v>Q3-T-019</x:v>
      </x:c>
      <x:c r="E45" s="7" t="str">
        <x:v>运输电池B</x:v>
      </x:c>
      <x:c r="F45" s="7" t="str">
        <x:v>2组-G2-BATB-02</x:v>
      </x:c>
      <x:c r="G45" s="9" t="n">
        <x:v>5197.34723082</x:v>
      </x:c>
      <x:c r="H45" s="9" t="n">
        <x:v>7217.95689592</x:v>
      </x:c>
      <x:c r="I45" s="9" t="n">
        <x:v>8935.13423701</x:v>
      </x:c>
    </x:row>
    <x:row r="46" ht="23" customHeight="1">
      <x:c r="A46" s="2" t="str">
        <x:v>2组</x:v>
      </x:c>
      <x:c r="B46" s="2" t="str">
        <x:v>G2</x:v>
      </x:c>
      <x:c r="C46" s="2" t="str">
        <x:v>运输架次</x:v>
      </x:c>
      <x:c r="D46" s="2" t="str">
        <x:v>Q3-T-008</x:v>
      </x:c>
      <x:c r="E46" s="2" t="str">
        <x:v>运输机C</x:v>
      </x:c>
      <x:c r="F46" s="2" t="str">
        <x:v>2组-G2-UC-01</x:v>
      </x:c>
      <x:c r="G46" s="8" t="n">
        <x:v>5.4094540827</x:v>
      </x:c>
      <x:c r="H46" s="8" t="n">
        <x:v>1608.141819</x:v>
      </x:c>
      <x:c r="I46" s="8" t="n">
        <x:v>1608.141819</x:v>
      </x:c>
    </x:row>
    <x:row r="47" ht="23" customHeight="1">
      <x:c r="A47" s="7" t="str">
        <x:v>2组</x:v>
      </x:c>
      <x:c r="B47" s="7" t="str">
        <x:v>G2</x:v>
      </x:c>
      <x:c r="C47" s="7" t="str">
        <x:v>运输架次</x:v>
      </x:c>
      <x:c r="D47" s="7" t="str">
        <x:v>Q3-T-008</x:v>
      </x:c>
      <x:c r="E47" s="7" t="str">
        <x:v>运输电池C</x:v>
      </x:c>
      <x:c r="F47" s="7" t="str">
        <x:v>2组-G2-BATC-01</x:v>
      </x:c>
      <x:c r="G47" s="9" t="n">
        <x:v>5.4094540827</x:v>
      </x:c>
      <x:c r="H47" s="9" t="n">
        <x:v>1608.141819</x:v>
      </x:c>
      <x:c r="I47" s="9" t="n">
        <x:v>3294.56241067</x:v>
      </x:c>
    </x:row>
    <x:row r="48" ht="23" customHeight="1">
      <x:c r="A48" s="2" t="str">
        <x:v>2组</x:v>
      </x:c>
      <x:c r="B48" s="2" t="str">
        <x:v>G2</x:v>
      </x:c>
      <x:c r="C48" s="2" t="str">
        <x:v>运输架次</x:v>
      </x:c>
      <x:c r="D48" s="2" t="str">
        <x:v>Q3-T-012</x:v>
      </x:c>
      <x:c r="E48" s="2" t="str">
        <x:v>运输机C</x:v>
      </x:c>
      <x:c r="F48" s="2" t="str">
        <x:v>2组-G2-UC-01</x:v>
      </x:c>
      <x:c r="G48" s="8" t="n">
        <x:v>1808.68662533</x:v>
      </x:c>
      <x:c r="H48" s="8" t="n">
        <x:v>4244.86433649</x:v>
      </x:c>
      <x:c r="I48" s="8" t="n">
        <x:v>4244.86433649</x:v>
      </x:c>
    </x:row>
    <x:row r="49" ht="23" customHeight="1">
      <x:c r="A49" s="7" t="str">
        <x:v>2组</x:v>
      </x:c>
      <x:c r="B49" s="7" t="str">
        <x:v>G2</x:v>
      </x:c>
      <x:c r="C49" s="7" t="str">
        <x:v>运输架次</x:v>
      </x:c>
      <x:c r="D49" s="7" t="str">
        <x:v>Q3-T-012</x:v>
      </x:c>
      <x:c r="E49" s="7" t="str">
        <x:v>运输电池C</x:v>
      </x:c>
      <x:c r="F49" s="7" t="str">
        <x:v>2组-G2-BATC-02</x:v>
      </x:c>
      <x:c r="G49" s="9" t="n">
        <x:v>1808.68662533</x:v>
      </x:c>
      <x:c r="H49" s="9" t="n">
        <x:v>4244.86433649</x:v>
      </x:c>
      <x:c r="I49" s="9" t="n">
        <x:v>6791.08292157</x:v>
      </x:c>
    </x:row>
    <x:row r="50" ht="23" customHeight="1">
      <x:c r="A50" s="2" t="str">
        <x:v>2组</x:v>
      </x:c>
      <x:c r="B50" s="2" t="str">
        <x:v>G2</x:v>
      </x:c>
      <x:c r="C50" s="2" t="str">
        <x:v>运输架次</x:v>
      </x:c>
      <x:c r="D50" s="2" t="str">
        <x:v>Q3-T-016</x:v>
      </x:c>
      <x:c r="E50" s="2" t="str">
        <x:v>运输机C</x:v>
      </x:c>
      <x:c r="F50" s="2" t="str">
        <x:v>2组-G2-UC-01</x:v>
      </x:c>
      <x:c r="G50" s="8" t="n">
        <x:v>4244.86433649</x:v>
      </x:c>
      <x:c r="H50" s="8" t="n">
        <x:v>6444.57586116</x:v>
      </x:c>
      <x:c r="I50" s="8" t="n">
        <x:v>6444.57586116</x:v>
      </x:c>
    </x:row>
    <x:row r="51" ht="23" customHeight="1">
      <x:c r="A51" s="7" t="str">
        <x:v>2组</x:v>
      </x:c>
      <x:c r="B51" s="7" t="str">
        <x:v>G2</x:v>
      </x:c>
      <x:c r="C51" s="7" t="str">
        <x:v>运输架次</x:v>
      </x:c>
      <x:c r="D51" s="7" t="str">
        <x:v>Q3-T-016</x:v>
      </x:c>
      <x:c r="E51" s="7" t="str">
        <x:v>运输电池C</x:v>
      </x:c>
      <x:c r="F51" s="7" t="str">
        <x:v>2组-G2-BATC-01</x:v>
      </x:c>
      <x:c r="G51" s="9" t="n">
        <x:v>4244.86433649</x:v>
      </x:c>
      <x:c r="H51" s="9" t="n">
        <x:v>6444.57586116</x:v>
      </x:c>
      <x:c r="I51" s="9" t="n">
        <x:v>8858.49812545</x:v>
      </x:c>
    </x:row>
    <x:row r="52" ht="23" customHeight="1">
      <x:c r="A52" s="2" t="str">
        <x:v>2组</x:v>
      </x:c>
      <x:c r="B52" s="2" t="str">
        <x:v>G2</x:v>
      </x:c>
      <x:c r="C52" s="2" t="str">
        <x:v>运输架次</x:v>
      </x:c>
      <x:c r="D52" s="2" t="str">
        <x:v>Q3-T-020</x:v>
      </x:c>
      <x:c r="E52" s="2" t="str">
        <x:v>运输机C</x:v>
      </x:c>
      <x:c r="F52" s="2" t="str">
        <x:v>2组-G2-UC-01</x:v>
      </x:c>
      <x:c r="G52" s="8" t="n">
        <x:v>7868.30235596</x:v>
      </x:c>
      <x:c r="H52" s="8" t="n">
        <x:v>9362.47740188</x:v>
      </x:c>
      <x:c r="I52" s="8" t="n">
        <x:v>9362.47740188</x:v>
      </x:c>
    </x:row>
    <x:row r="53" ht="23" customHeight="1">
      <x:c r="A53" s="7" t="str">
        <x:v>2组</x:v>
      </x:c>
      <x:c r="B53" s="7" t="str">
        <x:v>G2</x:v>
      </x:c>
      <x:c r="C53" s="7" t="str">
        <x:v>运输架次</x:v>
      </x:c>
      <x:c r="D53" s="7" t="str">
        <x:v>Q3-T-020</x:v>
      </x:c>
      <x:c r="E53" s="7" t="str">
        <x:v>运输电池C</x:v>
      </x:c>
      <x:c r="F53" s="7" t="str">
        <x:v>2组-G2-BATC-02</x:v>
      </x:c>
      <x:c r="G53" s="9" t="n">
        <x:v>7868.30235596</x:v>
      </x:c>
      <x:c r="H53" s="9" t="n">
        <x:v>9362.47740188</x:v>
      </x:c>
      <x:c r="I53" s="9" t="n">
        <x:v>11007.1666825</x:v>
      </x:c>
    </x:row>
    <x:row r="54" ht="23" customHeight="1">
      <x:c r="A54" s="2" t="str">
        <x:v>2组</x:v>
      </x:c>
      <x:c r="B54" s="2" t="str">
        <x:v>G2</x:v>
      </x:c>
      <x:c r="C54" s="2" t="str">
        <x:v>运输架次</x:v>
      </x:c>
      <x:c r="D54" s="2" t="str">
        <x:v>Q3-T-022</x:v>
      </x:c>
      <x:c r="E54" s="2" t="str">
        <x:v>运输机C</x:v>
      </x:c>
      <x:c r="F54" s="2" t="str">
        <x:v>2组-G2-UC-01</x:v>
      </x:c>
      <x:c r="G54" s="8" t="n">
        <x:v>9845.13122791</x:v>
      </x:c>
      <x:c r="H54" s="8" t="n">
        <x:v>11339.3062738</x:v>
      </x:c>
      <x:c r="I54" s="8" t="n">
        <x:v>11339.3062738</x:v>
      </x:c>
    </x:row>
    <x:row r="55" ht="23" customHeight="1">
      <x:c r="A55" s="7" t="str">
        <x:v>2组</x:v>
      </x:c>
      <x:c r="B55" s="7" t="str">
        <x:v>G2</x:v>
      </x:c>
      <x:c r="C55" s="7" t="str">
        <x:v>运输架次</x:v>
      </x:c>
      <x:c r="D55" s="7" t="str">
        <x:v>Q3-T-022</x:v>
      </x:c>
      <x:c r="E55" s="7" t="str">
        <x:v>运输电池C</x:v>
      </x:c>
      <x:c r="F55" s="7" t="str">
        <x:v>2组-G2-BATC-01</x:v>
      </x:c>
      <x:c r="G55" s="9" t="n">
        <x:v>9845.13122791</x:v>
      </x:c>
      <x:c r="H55" s="9" t="n">
        <x:v>11339.3062738</x:v>
      </x:c>
      <x:c r="I55" s="9" t="n">
        <x:v>12824.0014553</x:v>
      </x:c>
    </x:row>
    <x:row r="56" ht="23" customHeight="1">
      <x:c r="A56" s="2" t="str">
        <x:v>2组</x:v>
      </x:c>
      <x:c r="B56" s="2" t="str">
        <x:v>G2</x:v>
      </x:c>
      <x:c r="C56" s="2" t="str">
        <x:v>中继架次</x:v>
      </x:c>
      <x:c r="D56" s="2" t="str">
        <x:v>Q3-R-001</x:v>
      </x:c>
      <x:c r="E56" s="2" t="str">
        <x:v>中继无人机</x:v>
      </x:c>
      <x:c r="F56" s="2" t="str">
        <x:v>2组-G2-R-01</x:v>
      </x:c>
      <x:c r="G56" s="8" t="n">
        <x:v>1</x:v>
      </x:c>
      <x:c r="H56" s="8" t="n">
        <x:v>3608.87268139</x:v>
      </x:c>
      <x:c r="I56" s="8" t="n">
        <x:v>3908.87268139</x:v>
      </x:c>
    </x:row>
    <x:row r="57" ht="23" customHeight="1">
      <x:c r="A57" s="7" t="str">
        <x:v>2组</x:v>
      </x:c>
      <x:c r="B57" s="7" t="str">
        <x:v>G2</x:v>
      </x:c>
      <x:c r="C57" s="7" t="str">
        <x:v>中继架次</x:v>
      </x:c>
      <x:c r="D57" s="7" t="str">
        <x:v>Q3-R-001</x:v>
      </x:c>
      <x:c r="E57" s="7" t="str">
        <x:v>中继能源组件</x:v>
      </x:c>
      <x:c r="F57" s="7" t="str">
        <x:v>2组-G2-RE-01</x:v>
      </x:c>
      <x:c r="G57" s="9" t="n">
        <x:v>1</x:v>
      </x:c>
      <x:c r="H57" s="9" t="n">
        <x:v>3608.87268139</x:v>
      </x:c>
      <x:c r="I57" s="9" t="n">
        <x:v>4514.10659103</x:v>
      </x:c>
    </x:row>
    <x:row r="58" ht="23" customHeight="1">
      <x:c r="A58" s="2" t="str">
        <x:v>2组</x:v>
      </x:c>
      <x:c r="B58" s="2" t="str">
        <x:v>G2</x:v>
      </x:c>
      <x:c r="C58" s="2" t="str">
        <x:v>中继架次</x:v>
      </x:c>
      <x:c r="D58" s="2" t="str">
        <x:v>Q3-R-003</x:v>
      </x:c>
      <x:c r="E58" s="2" t="str">
        <x:v>中继无人机</x:v>
      </x:c>
      <x:c r="F58" s="2" t="str">
        <x:v>2组-G2-R-02</x:v>
      </x:c>
      <x:c r="G58" s="8" t="n">
        <x:v>2047.31795815</x:v>
      </x:c>
      <x:c r="H58" s="8" t="n">
        <x:v>8019.43159858</x:v>
      </x:c>
      <x:c r="I58" s="8" t="n">
        <x:v>8319.43159858</x:v>
      </x:c>
    </x:row>
    <x:row r="59" ht="23" customHeight="1">
      <x:c r="A59" s="7" t="str">
        <x:v>2组</x:v>
      </x:c>
      <x:c r="B59" s="7" t="str">
        <x:v>G2</x:v>
      </x:c>
      <x:c r="C59" s="7" t="str">
        <x:v>中继架次</x:v>
      </x:c>
      <x:c r="D59" s="7" t="str">
        <x:v>Q3-R-003</x:v>
      </x:c>
      <x:c r="E59" s="7" t="str">
        <x:v>中继能源组件</x:v>
      </x:c>
      <x:c r="F59" s="7" t="str">
        <x:v>2组-G2-RE-02</x:v>
      </x:c>
      <x:c r="G59" s="9" t="n">
        <x:v>2047.31795815</x:v>
      </x:c>
      <x:c r="H59" s="9" t="n">
        <x:v>8019.43159858</x:v>
      </x:c>
      <x:c r="I59" s="9" t="n">
        <x:v>9217.86527148</x:v>
      </x:c>
    </x:row>
    <x:row r="60" ht="23" customHeight="1">
      <x:c r="A60" s="2" t="str">
        <x:v>3组</x:v>
      </x:c>
      <x:c r="B60" s="2" t="str">
        <x:v>G1</x:v>
      </x:c>
      <x:c r="C60" s="2" t="str">
        <x:v>运输架次</x:v>
      </x:c>
      <x:c r="D60" s="2" t="str">
        <x:v>Q3-T-001</x:v>
      </x:c>
      <x:c r="E60" s="2" t="str">
        <x:v>运输机A</x:v>
      </x:c>
      <x:c r="F60" s="2" t="str">
        <x:v>3组-G1-UA-01</x:v>
      </x:c>
      <x:c r="G60" s="8" t="n">
        <x:v>0</x:v>
      </x:c>
      <x:c r="H60" s="8" t="n">
        <x:v>1727.46688583</x:v>
      </x:c>
      <x:c r="I60" s="8" t="n">
        <x:v>1727.46688583</x:v>
      </x:c>
    </x:row>
    <x:row r="61" ht="23" customHeight="1">
      <x:c r="A61" s="7" t="str">
        <x:v>3组</x:v>
      </x:c>
      <x:c r="B61" s="7" t="str">
        <x:v>G1</x:v>
      </x:c>
      <x:c r="C61" s="7" t="str">
        <x:v>运输架次</x:v>
      </x:c>
      <x:c r="D61" s="7" t="str">
        <x:v>Q3-T-001</x:v>
      </x:c>
      <x:c r="E61" s="7" t="str">
        <x:v>运输电池A</x:v>
      </x:c>
      <x:c r="F61" s="7" t="str">
        <x:v>3组-G1-BATA-01</x:v>
      </x:c>
      <x:c r="G61" s="9" t="n">
        <x:v>0</x:v>
      </x:c>
      <x:c r="H61" s="9" t="n">
        <x:v>1727.46688583</x:v>
      </x:c>
      <x:c r="I61" s="9" t="n">
        <x:v>2777.91095035</x:v>
      </x:c>
    </x:row>
    <x:row r="62" ht="23" customHeight="1">
      <x:c r="A62" s="2" t="str">
        <x:v>3组</x:v>
      </x:c>
      <x:c r="B62" s="2" t="str">
        <x:v>G1</x:v>
      </x:c>
      <x:c r="C62" s="2" t="str">
        <x:v>运输架次</x:v>
      </x:c>
      <x:c r="D62" s="2" t="str">
        <x:v>Q3-T-006</x:v>
      </x:c>
      <x:c r="E62" s="2" t="str">
        <x:v>运输机B</x:v>
      </x:c>
      <x:c r="F62" s="2" t="str">
        <x:v>3组-G1-UB-01</x:v>
      </x:c>
      <x:c r="G62" s="8" t="n">
        <x:v>0</x:v>
      </x:c>
      <x:c r="H62" s="8" t="n">
        <x:v>1207.27001136</x:v>
      </x:c>
      <x:c r="I62" s="8" t="n">
        <x:v>1207.27001136</x:v>
      </x:c>
    </x:row>
    <x:row r="63" ht="23" customHeight="1">
      <x:c r="A63" s="7" t="str">
        <x:v>3组</x:v>
      </x:c>
      <x:c r="B63" s="7" t="str">
        <x:v>G1</x:v>
      </x:c>
      <x:c r="C63" s="7" t="str">
        <x:v>运输架次</x:v>
      </x:c>
      <x:c r="D63" s="7" t="str">
        <x:v>Q3-T-006</x:v>
      </x:c>
      <x:c r="E63" s="7" t="str">
        <x:v>运输电池B</x:v>
      </x:c>
      <x:c r="F63" s="7" t="str">
        <x:v>3组-G1-BATB-01</x:v>
      </x:c>
      <x:c r="G63" s="9" t="n">
        <x:v>0</x:v>
      </x:c>
      <x:c r="H63" s="9" t="n">
        <x:v>1207.27001136</x:v>
      </x:c>
      <x:c r="I63" s="9" t="n">
        <x:v>2350.06050597</x:v>
      </x:c>
    </x:row>
    <x:row r="64" ht="23" customHeight="1">
      <x:c r="A64" s="2" t="str">
        <x:v>3组</x:v>
      </x:c>
      <x:c r="B64" s="2" t="str">
        <x:v>G1</x:v>
      </x:c>
      <x:c r="C64" s="2" t="str">
        <x:v>运输架次</x:v>
      </x:c>
      <x:c r="D64" s="2" t="str">
        <x:v>Q3-T-014</x:v>
      </x:c>
      <x:c r="E64" s="2" t="str">
        <x:v>运输机B</x:v>
      </x:c>
      <x:c r="F64" s="2" t="str">
        <x:v>3组-G1-UB-01</x:v>
      </x:c>
      <x:c r="G64" s="8" t="n">
        <x:v>2923.73586055</x:v>
      </x:c>
      <x:c r="H64" s="8" t="n">
        <x:v>4752.06342071</x:v>
      </x:c>
      <x:c r="I64" s="8" t="n">
        <x:v>4752.06342071</x:v>
      </x:c>
    </x:row>
    <x:row r="65" ht="23" customHeight="1">
      <x:c r="A65" s="7" t="str">
        <x:v>3组</x:v>
      </x:c>
      <x:c r="B65" s="7" t="str">
        <x:v>G1</x:v>
      </x:c>
      <x:c r="C65" s="7" t="str">
        <x:v>运输架次</x:v>
      </x:c>
      <x:c r="D65" s="7" t="str">
        <x:v>Q3-T-014</x:v>
      </x:c>
      <x:c r="E65" s="7" t="str">
        <x:v>运输电池B</x:v>
      </x:c>
      <x:c r="F65" s="7" t="str">
        <x:v>3组-G1-BATB-01</x:v>
      </x:c>
      <x:c r="G65" s="9" t="n">
        <x:v>2923.73586055</x:v>
      </x:c>
      <x:c r="H65" s="9" t="n">
        <x:v>4752.06342071</x:v>
      </x:c>
      <x:c r="I65" s="9" t="n">
        <x:v>6418.65910651</x:v>
      </x:c>
    </x:row>
    <x:row r="66" ht="23" customHeight="1">
      <x:c r="A66" s="2" t="str">
        <x:v>3组</x:v>
      </x:c>
      <x:c r="B66" s="2" t="str">
        <x:v>G1</x:v>
      </x:c>
      <x:c r="C66" s="2" t="str">
        <x:v>运输架次</x:v>
      </x:c>
      <x:c r="D66" s="2" t="str">
        <x:v>Q3-T-019</x:v>
      </x:c>
      <x:c r="E66" s="2" t="str">
        <x:v>运输机B</x:v>
      </x:c>
      <x:c r="F66" s="2" t="str">
        <x:v>3组-G1-UB-01</x:v>
      </x:c>
      <x:c r="G66" s="8" t="n">
        <x:v>5197.34723082</x:v>
      </x:c>
      <x:c r="H66" s="8" t="n">
        <x:v>7217.95689592</x:v>
      </x:c>
      <x:c r="I66" s="8" t="n">
        <x:v>7217.95689592</x:v>
      </x:c>
    </x:row>
    <x:row r="67" ht="23" customHeight="1">
      <x:c r="A67" s="7" t="str">
        <x:v>3组</x:v>
      </x:c>
      <x:c r="B67" s="7" t="str">
        <x:v>G1</x:v>
      </x:c>
      <x:c r="C67" s="7" t="str">
        <x:v>运输架次</x:v>
      </x:c>
      <x:c r="D67" s="7" t="str">
        <x:v>Q3-T-019</x:v>
      </x:c>
      <x:c r="E67" s="7" t="str">
        <x:v>运输电池B</x:v>
      </x:c>
      <x:c r="F67" s="7" t="str">
        <x:v>3组-G1-BATB-02</x:v>
      </x:c>
      <x:c r="G67" s="9" t="n">
        <x:v>5197.34723082</x:v>
      </x:c>
      <x:c r="H67" s="9" t="n">
        <x:v>7217.95689592</x:v>
      </x:c>
      <x:c r="I67" s="9" t="n">
        <x:v>8935.13423701</x:v>
      </x:c>
    </x:row>
    <x:row r="68" ht="23" customHeight="1">
      <x:c r="A68" s="2" t="str">
        <x:v>3组</x:v>
      </x:c>
      <x:c r="B68" s="2" t="str">
        <x:v>G1</x:v>
      </x:c>
      <x:c r="C68" s="2" t="str">
        <x:v>运输架次</x:v>
      </x:c>
      <x:c r="D68" s="2" t="str">
        <x:v>Q3-T-012</x:v>
      </x:c>
      <x:c r="E68" s="2" t="str">
        <x:v>运输机C</x:v>
      </x:c>
      <x:c r="F68" s="2" t="str">
        <x:v>3组-G1-UC-01</x:v>
      </x:c>
      <x:c r="G68" s="8" t="n">
        <x:v>1808.68662533</x:v>
      </x:c>
      <x:c r="H68" s="8" t="n">
        <x:v>4244.86433649</x:v>
      </x:c>
      <x:c r="I68" s="8" t="n">
        <x:v>4244.86433649</x:v>
      </x:c>
    </x:row>
    <x:row r="69" ht="23" customHeight="1">
      <x:c r="A69" s="7" t="str">
        <x:v>3组</x:v>
      </x:c>
      <x:c r="B69" s="7" t="str">
        <x:v>G1</x:v>
      </x:c>
      <x:c r="C69" s="7" t="str">
        <x:v>运输架次</x:v>
      </x:c>
      <x:c r="D69" s="7" t="str">
        <x:v>Q3-T-012</x:v>
      </x:c>
      <x:c r="E69" s="7" t="str">
        <x:v>运输电池C</x:v>
      </x:c>
      <x:c r="F69" s="7" t="str">
        <x:v>3组-G1-BATC-01</x:v>
      </x:c>
      <x:c r="G69" s="9" t="n">
        <x:v>1808.68662533</x:v>
      </x:c>
      <x:c r="H69" s="9" t="n">
        <x:v>4244.86433649</x:v>
      </x:c>
      <x:c r="I69" s="9" t="n">
        <x:v>6791.08292157</x:v>
      </x:c>
    </x:row>
    <x:row r="70" ht="23" customHeight="1">
      <x:c r="A70" s="2" t="str">
        <x:v>3组</x:v>
      </x:c>
      <x:c r="B70" s="2" t="str">
        <x:v>G1</x:v>
      </x:c>
      <x:c r="C70" s="2" t="str">
        <x:v>运输架次</x:v>
      </x:c>
      <x:c r="D70" s="2" t="str">
        <x:v>Q3-T-016</x:v>
      </x:c>
      <x:c r="E70" s="2" t="str">
        <x:v>运输机C</x:v>
      </x:c>
      <x:c r="F70" s="2" t="str">
        <x:v>3组-G1-UC-01</x:v>
      </x:c>
      <x:c r="G70" s="8" t="n">
        <x:v>4244.86433649</x:v>
      </x:c>
      <x:c r="H70" s="8" t="n">
        <x:v>6444.57586116</x:v>
      </x:c>
      <x:c r="I70" s="8" t="n">
        <x:v>6444.57586116</x:v>
      </x:c>
    </x:row>
    <x:row r="71" ht="23" customHeight="1">
      <x:c r="A71" s="7" t="str">
        <x:v>3组</x:v>
      </x:c>
      <x:c r="B71" s="7" t="str">
        <x:v>G1</x:v>
      </x:c>
      <x:c r="C71" s="7" t="str">
        <x:v>运输架次</x:v>
      </x:c>
      <x:c r="D71" s="7" t="str">
        <x:v>Q3-T-016</x:v>
      </x:c>
      <x:c r="E71" s="7" t="str">
        <x:v>运输电池C</x:v>
      </x:c>
      <x:c r="F71" s="7" t="str">
        <x:v>3组-G1-BATC-02</x:v>
      </x:c>
      <x:c r="G71" s="9" t="n">
        <x:v>4244.86433649</x:v>
      </x:c>
      <x:c r="H71" s="9" t="n">
        <x:v>6444.57586116</x:v>
      </x:c>
      <x:c r="I71" s="9" t="n">
        <x:v>8858.49812545</x:v>
      </x:c>
    </x:row>
    <x:row r="72" ht="23" customHeight="1">
      <x:c r="A72" s="2" t="str">
        <x:v>3组</x:v>
      </x:c>
      <x:c r="B72" s="2" t="str">
        <x:v>G1</x:v>
      </x:c>
      <x:c r="C72" s="2" t="str">
        <x:v>运输架次</x:v>
      </x:c>
      <x:c r="D72" s="2" t="str">
        <x:v>Q3-T-021</x:v>
      </x:c>
      <x:c r="E72" s="2" t="str">
        <x:v>运输机C</x:v>
      </x:c>
      <x:c r="F72" s="2" t="str">
        <x:v>3组-G1-UC-01</x:v>
      </x:c>
      <x:c r="G72" s="8" t="n">
        <x:v>8490.84659202</x:v>
      </x:c>
      <x:c r="H72" s="8" t="n">
        <x:v>10904.4270418</x:v>
      </x:c>
      <x:c r="I72" s="8" t="n">
        <x:v>10904.4270418</x:v>
      </x:c>
    </x:row>
    <x:row r="73" ht="23" customHeight="1">
      <x:c r="A73" s="7" t="str">
        <x:v>3组</x:v>
      </x:c>
      <x:c r="B73" s="7" t="str">
        <x:v>G1</x:v>
      </x:c>
      <x:c r="C73" s="7" t="str">
        <x:v>运输架次</x:v>
      </x:c>
      <x:c r="D73" s="7" t="str">
        <x:v>Q3-T-021</x:v>
      </x:c>
      <x:c r="E73" s="7" t="str">
        <x:v>运输电池C</x:v>
      </x:c>
      <x:c r="F73" s="7" t="str">
        <x:v>3组-G1-BATC-01</x:v>
      </x:c>
      <x:c r="G73" s="9" t="n">
        <x:v>8490.84659202</x:v>
      </x:c>
      <x:c r="H73" s="9" t="n">
        <x:v>10904.4270418</x:v>
      </x:c>
      <x:c r="I73" s="9" t="n">
        <x:v>12899.1064749</x:v>
      </x:c>
    </x:row>
    <x:row r="74" ht="23" customHeight="1">
      <x:c r="A74" s="2" t="str">
        <x:v>3组</x:v>
      </x:c>
      <x:c r="B74" s="2" t="str">
        <x:v>G1</x:v>
      </x:c>
      <x:c r="C74" s="2" t="str">
        <x:v>中继架次</x:v>
      </x:c>
      <x:c r="D74" s="2" t="str">
        <x:v>Q3-R-002</x:v>
      </x:c>
      <x:c r="E74" s="2" t="str">
        <x:v>中继无人机</x:v>
      </x:c>
      <x:c r="F74" s="2" t="str">
        <x:v>3组-G1-R-01</x:v>
      </x:c>
      <x:c r="G74" s="8" t="n">
        <x:v>146.631332823</x:v>
      </x:c>
      <x:c r="H74" s="8" t="n">
        <x:v>1746.31795815</x:v>
      </x:c>
      <x:c r="I74" s="8" t="n">
        <x:v>2046.31795815</x:v>
      </x:c>
    </x:row>
    <x:row r="75" ht="23" customHeight="1">
      <x:c r="A75" s="7" t="str">
        <x:v>3组</x:v>
      </x:c>
      <x:c r="B75" s="7" t="str">
        <x:v>G1</x:v>
      </x:c>
      <x:c r="C75" s="7" t="str">
        <x:v>中继架次</x:v>
      </x:c>
      <x:c r="D75" s="7" t="str">
        <x:v>Q3-R-002</x:v>
      </x:c>
      <x:c r="E75" s="7" t="str">
        <x:v>中继能源组件</x:v>
      </x:c>
      <x:c r="F75" s="7" t="str">
        <x:v>3组-G1-RE-01</x:v>
      </x:c>
      <x:c r="G75" s="9" t="n">
        <x:v>146.631332823</x:v>
      </x:c>
      <x:c r="H75" s="9" t="n">
        <x:v>1746.31795815</x:v>
      </x:c>
      <x:c r="I75" s="9" t="n">
        <x:v>2401.99376373</x:v>
      </x:c>
    </x:row>
    <x:row r="76" ht="23" customHeight="1">
      <x:c r="A76" s="2" t="str">
        <x:v>3组</x:v>
      </x:c>
      <x:c r="B76" s="2" t="str">
        <x:v>G1</x:v>
      </x:c>
      <x:c r="C76" s="2" t="str">
        <x:v>中继架次</x:v>
      </x:c>
      <x:c r="D76" s="2" t="str">
        <x:v>Q3-R-003</x:v>
      </x:c>
      <x:c r="E76" s="2" t="str">
        <x:v>中继无人机</x:v>
      </x:c>
      <x:c r="F76" s="2" t="str">
        <x:v>3组-G1-R-01</x:v>
      </x:c>
      <x:c r="G76" s="8" t="n">
        <x:v>2047.31795815</x:v>
      </x:c>
      <x:c r="H76" s="8" t="n">
        <x:v>8019.43159858</x:v>
      </x:c>
      <x:c r="I76" s="8" t="n">
        <x:v>8319.43159858</x:v>
      </x:c>
    </x:row>
    <x:row r="77" ht="23" customHeight="1">
      <x:c r="A77" s="7" t="str">
        <x:v>3组</x:v>
      </x:c>
      <x:c r="B77" s="7" t="str">
        <x:v>G1</x:v>
      </x:c>
      <x:c r="C77" s="7" t="str">
        <x:v>中继架次</x:v>
      </x:c>
      <x:c r="D77" s="7" t="str">
        <x:v>Q3-R-003</x:v>
      </x:c>
      <x:c r="E77" s="7" t="str">
        <x:v>中继能源组件</x:v>
      </x:c>
      <x:c r="F77" s="7" t="str">
        <x:v>3组-G1-RE-02</x:v>
      </x:c>
      <x:c r="G77" s="9" t="n">
        <x:v>2047.31795815</x:v>
      </x:c>
      <x:c r="H77" s="9" t="n">
        <x:v>8019.43159858</x:v>
      </x:c>
      <x:c r="I77" s="9" t="n">
        <x:v>9217.86527148</x:v>
      </x:c>
    </x:row>
    <x:row r="78" ht="23" customHeight="1">
      <x:c r="A78" s="2" t="str">
        <x:v>3组</x:v>
      </x:c>
      <x:c r="B78" s="2" t="str">
        <x:v>G1</x:v>
      </x:c>
      <x:c r="C78" s="2" t="str">
        <x:v>中继架次</x:v>
      </x:c>
      <x:c r="D78" s="2" t="str">
        <x:v>Q3-R-005</x:v>
      </x:c>
      <x:c r="E78" s="2" t="str">
        <x:v>中继无人机</x:v>
      </x:c>
      <x:c r="F78" s="2" t="str">
        <x:v>3组-G1-R-01</x:v>
      </x:c>
      <x:c r="G78" s="8" t="n">
        <x:v>9213.47792484</x:v>
      </x:c>
      <x:c r="H78" s="8" t="n">
        <x:v>10951.1645502</x:v>
      </x:c>
      <x:c r="I78" s="8" t="n">
        <x:v>11251.1645502</x:v>
      </x:c>
    </x:row>
    <x:row r="79" ht="23" customHeight="1">
      <x:c r="A79" s="7" t="str">
        <x:v>3组</x:v>
      </x:c>
      <x:c r="B79" s="7" t="str">
        <x:v>G1</x:v>
      </x:c>
      <x:c r="C79" s="7" t="str">
        <x:v>中继架次</x:v>
      </x:c>
      <x:c r="D79" s="7" t="str">
        <x:v>Q3-R-005</x:v>
      </x:c>
      <x:c r="E79" s="7" t="str">
        <x:v>中继能源组件</x:v>
      </x:c>
      <x:c r="F79" s="7" t="str">
        <x:v>3组-G1-RE-01</x:v>
      </x:c>
      <x:c r="G79" s="9" t="n">
        <x:v>9213.47792484</x:v>
      </x:c>
      <x:c r="H79" s="9" t="n">
        <x:v>10951.1645502</x:v>
      </x:c>
      <x:c r="I79" s="9" t="n">
        <x:v>11623.9705641</x:v>
      </x:c>
    </x:row>
    <x:row r="80" ht="23" customHeight="1">
      <x:c r="A80" s="2" t="str">
        <x:v>3组</x:v>
      </x:c>
      <x:c r="B80" s="2" t="str">
        <x:v>G2</x:v>
      </x:c>
      <x:c r="C80" s="2" t="str">
        <x:v>运输架次</x:v>
      </x:c>
      <x:c r="D80" s="2" t="str">
        <x:v>Q3-T-003</x:v>
      </x:c>
      <x:c r="E80" s="2" t="str">
        <x:v>运输机A</x:v>
      </x:c>
      <x:c r="F80" s="2" t="str">
        <x:v>3组-G2-UA-01</x:v>
      </x:c>
      <x:c r="G80" s="8" t="n">
        <x:v>5.4094540827</x:v>
      </x:c>
      <x:c r="H80" s="8" t="n">
        <x:v>2009.18466254</x:v>
      </x:c>
      <x:c r="I80" s="8" t="n">
        <x:v>2009.18466254</x:v>
      </x:c>
    </x:row>
    <x:row r="81" ht="23" customHeight="1">
      <x:c r="A81" s="7" t="str">
        <x:v>3组</x:v>
      </x:c>
      <x:c r="B81" s="7" t="str">
        <x:v>G2</x:v>
      </x:c>
      <x:c r="C81" s="7" t="str">
        <x:v>运输架次</x:v>
      </x:c>
      <x:c r="D81" s="7" t="str">
        <x:v>Q3-T-003</x:v>
      </x:c>
      <x:c r="E81" s="7" t="str">
        <x:v>运输电池A</x:v>
      </x:c>
      <x:c r="F81" s="7" t="str">
        <x:v>3组-G2-BATA-01</x:v>
      </x:c>
      <x:c r="G81" s="9" t="n">
        <x:v>5.4094540827</x:v>
      </x:c>
      <x:c r="H81" s="9" t="n">
        <x:v>2009.18466254</x:v>
      </x:c>
      <x:c r="I81" s="9" t="n">
        <x:v>3352.745327</x:v>
      </x:c>
    </x:row>
    <x:row r="82" ht="23" customHeight="1">
      <x:c r="A82" s="2" t="str">
        <x:v>3组</x:v>
      </x:c>
      <x:c r="B82" s="2" t="str">
        <x:v>G2</x:v>
      </x:c>
      <x:c r="C82" s="2" t="str">
        <x:v>运输架次</x:v>
      </x:c>
      <x:c r="D82" s="2" t="str">
        <x:v>Q3-T-005</x:v>
      </x:c>
      <x:c r="E82" s="2" t="str">
        <x:v>运输机B</x:v>
      </x:c>
      <x:c r="F82" s="2" t="str">
        <x:v>3组-G2-UB-01</x:v>
      </x:c>
      <x:c r="G82" s="8" t="n">
        <x:v>0</x:v>
      </x:c>
      <x:c r="H82" s="8" t="n">
        <x:v>1209.10617589</x:v>
      </x:c>
      <x:c r="I82" s="8" t="n">
        <x:v>1209.10617589</x:v>
      </x:c>
    </x:row>
    <x:row r="83" ht="23" customHeight="1">
      <x:c r="A83" s="7" t="str">
        <x:v>3组</x:v>
      </x:c>
      <x:c r="B83" s="7" t="str">
        <x:v>G2</x:v>
      </x:c>
      <x:c r="C83" s="7" t="str">
        <x:v>运输架次</x:v>
      </x:c>
      <x:c r="D83" s="7" t="str">
        <x:v>Q3-T-005</x:v>
      </x:c>
      <x:c r="E83" s="7" t="str">
        <x:v>运输电池B</x:v>
      </x:c>
      <x:c r="F83" s="7" t="str">
        <x:v>3组-G2-BATB-01</x:v>
      </x:c>
      <x:c r="G83" s="9" t="n">
        <x:v>0</x:v>
      </x:c>
      <x:c r="H83" s="9" t="n">
        <x:v>1209.10617589</x:v>
      </x:c>
      <x:c r="I83" s="9" t="n">
        <x:v>2341.16082093</x:v>
      </x:c>
    </x:row>
    <x:row r="84" ht="23" customHeight="1">
      <x:c r="A84" s="2" t="str">
        <x:v>3组</x:v>
      </x:c>
      <x:c r="B84" s="2" t="str">
        <x:v>G2</x:v>
      </x:c>
      <x:c r="C84" s="2" t="str">
        <x:v>运输架次</x:v>
      </x:c>
      <x:c r="D84" s="2" t="str">
        <x:v>Q3-T-010</x:v>
      </x:c>
      <x:c r="E84" s="2" t="str">
        <x:v>运输机B</x:v>
      </x:c>
      <x:c r="F84" s="2" t="str">
        <x:v>3组-G2-UB-01</x:v>
      </x:c>
      <x:c r="G84" s="8" t="n">
        <x:v>1214.51562997</x:v>
      </x:c>
      <x:c r="H84" s="8" t="n">
        <x:v>3137.34244422</x:v>
      </x:c>
      <x:c r="I84" s="8" t="n">
        <x:v>3137.34244422</x:v>
      </x:c>
    </x:row>
    <x:row r="85" ht="23" customHeight="1">
      <x:c r="A85" s="7" t="str">
        <x:v>3组</x:v>
      </x:c>
      <x:c r="B85" s="7" t="str">
        <x:v>G2</x:v>
      </x:c>
      <x:c r="C85" s="7" t="str">
        <x:v>运输架次</x:v>
      </x:c>
      <x:c r="D85" s="7" t="str">
        <x:v>Q3-T-010</x:v>
      </x:c>
      <x:c r="E85" s="7" t="str">
        <x:v>运输电池B</x:v>
      </x:c>
      <x:c r="F85" s="7" t="str">
        <x:v>3组-G2-BATB-02</x:v>
      </x:c>
      <x:c r="G85" s="9" t="n">
        <x:v>1214.51562997</x:v>
      </x:c>
      <x:c r="H85" s="9" t="n">
        <x:v>3137.34244422</x:v>
      </x:c>
      <x:c r="I85" s="9" t="n">
        <x:v>4996.80242449</x:v>
      </x:c>
    </x:row>
    <x:row r="86" ht="23" customHeight="1">
      <x:c r="A86" s="2" t="str">
        <x:v>3组</x:v>
      </x:c>
      <x:c r="B86" s="2" t="str">
        <x:v>G2</x:v>
      </x:c>
      <x:c r="C86" s="2" t="str">
        <x:v>运输架次</x:v>
      </x:c>
      <x:c r="D86" s="2" t="str">
        <x:v>Q3-T-015</x:v>
      </x:c>
      <x:c r="E86" s="2" t="str">
        <x:v>运输机B</x:v>
      </x:c>
      <x:c r="F86" s="2" t="str">
        <x:v>3组-G2-UB-01</x:v>
      </x:c>
      <x:c r="G86" s="8" t="n">
        <x:v>3337.88725055</x:v>
      </x:c>
      <x:c r="H86" s="8" t="n">
        <x:v>4896.35011497</x:v>
      </x:c>
      <x:c r="I86" s="8" t="n">
        <x:v>4896.35011497</x:v>
      </x:c>
    </x:row>
    <x:row r="87" ht="23" customHeight="1">
      <x:c r="A87" s="7" t="str">
        <x:v>3组</x:v>
      </x:c>
      <x:c r="B87" s="7" t="str">
        <x:v>G2</x:v>
      </x:c>
      <x:c r="C87" s="7" t="str">
        <x:v>运输架次</x:v>
      </x:c>
      <x:c r="D87" s="7" t="str">
        <x:v>Q3-T-015</x:v>
      </x:c>
      <x:c r="E87" s="7" t="str">
        <x:v>运输电池B</x:v>
      </x:c>
      <x:c r="F87" s="7" t="str">
        <x:v>3组-G2-BATB-01</x:v>
      </x:c>
      <x:c r="G87" s="9" t="n">
        <x:v>3337.88725055</x:v>
      </x:c>
      <x:c r="H87" s="9" t="n">
        <x:v>4896.35011497</x:v>
      </x:c>
      <x:c r="I87" s="9" t="n">
        <x:v>6471.39845579</x:v>
      </x:c>
    </x:row>
    <x:row r="88" ht="23" customHeight="1">
      <x:c r="A88" s="2" t="str">
        <x:v>3组</x:v>
      </x:c>
      <x:c r="B88" s="2" t="str">
        <x:v>G2</x:v>
      </x:c>
      <x:c r="C88" s="2" t="str">
        <x:v>运输架次</x:v>
      </x:c>
      <x:c r="D88" s="2" t="str">
        <x:v>Q3-T-007</x:v>
      </x:c>
      <x:c r="E88" s="2" t="str">
        <x:v>运输机C</x:v>
      </x:c>
      <x:c r="F88" s="2" t="str">
        <x:v>3组-G2-UC-01</x:v>
      </x:c>
      <x:c r="G88" s="8" t="n">
        <x:v>5.4094540827</x:v>
      </x:c>
      <x:c r="H88" s="8" t="n">
        <x:v>2113.25162013</x:v>
      </x:c>
      <x:c r="I88" s="8" t="n">
        <x:v>2113.25162013</x:v>
      </x:c>
    </x:row>
    <x:row r="89" ht="23" customHeight="1">
      <x:c r="A89" s="7" t="str">
        <x:v>3组</x:v>
      </x:c>
      <x:c r="B89" s="7" t="str">
        <x:v>G2</x:v>
      </x:c>
      <x:c r="C89" s="7" t="str">
        <x:v>运输架次</x:v>
      </x:c>
      <x:c r="D89" s="7" t="str">
        <x:v>Q3-T-007</x:v>
      </x:c>
      <x:c r="E89" s="7" t="str">
        <x:v>运输电池C</x:v>
      </x:c>
      <x:c r="F89" s="7" t="str">
        <x:v>3组-G2-BATC-01</x:v>
      </x:c>
      <x:c r="G89" s="9" t="n">
        <x:v>5.4094540827</x:v>
      </x:c>
      <x:c r="H89" s="9" t="n">
        <x:v>2113.25162013</x:v>
      </x:c>
      <x:c r="I89" s="9" t="n">
        <x:v>4600.23829484</x:v>
      </x:c>
    </x:row>
    <x:row r="90" ht="23" customHeight="1">
      <x:c r="A90" s="2" t="str">
        <x:v>3组</x:v>
      </x:c>
      <x:c r="B90" s="2" t="str">
        <x:v>G2</x:v>
      </x:c>
      <x:c r="C90" s="2" t="str">
        <x:v>运输架次</x:v>
      </x:c>
      <x:c r="D90" s="2" t="str">
        <x:v>Q3-T-018</x:v>
      </x:c>
      <x:c r="E90" s="2" t="str">
        <x:v>运输机C</x:v>
      </x:c>
      <x:c r="F90" s="2" t="str">
        <x:v>3组-G2-UC-01</x:v>
      </x:c>
      <x:c r="G90" s="8" t="n">
        <x:v>5991.11364043</x:v>
      </x:c>
      <x:c r="H90" s="8" t="n">
        <x:v>7868.30235596</x:v>
      </x:c>
      <x:c r="I90" s="8" t="n">
        <x:v>7868.30235596</x:v>
      </x:c>
    </x:row>
    <x:row r="91" ht="23" customHeight="1">
      <x:c r="A91" s="7" t="str">
        <x:v>3组</x:v>
      </x:c>
      <x:c r="B91" s="7" t="str">
        <x:v>G2</x:v>
      </x:c>
      <x:c r="C91" s="7" t="str">
        <x:v>运输架次</x:v>
      </x:c>
      <x:c r="D91" s="7" t="str">
        <x:v>Q3-T-018</x:v>
      </x:c>
      <x:c r="E91" s="7" t="str">
        <x:v>运输电池C</x:v>
      </x:c>
      <x:c r="F91" s="7" t="str">
        <x:v>3组-G2-BATC-01</x:v>
      </x:c>
      <x:c r="G91" s="9" t="n">
        <x:v>5991.11364043</x:v>
      </x:c>
      <x:c r="H91" s="9" t="n">
        <x:v>7868.30235596</x:v>
      </x:c>
      <x:c r="I91" s="9" t="n">
        <x:v>9845.13122791</x:v>
      </x:c>
    </x:row>
    <x:row r="92" ht="23" customHeight="1">
      <x:c r="A92" s="2" t="str">
        <x:v>3组</x:v>
      </x:c>
      <x:c r="B92" s="2" t="str">
        <x:v>G2</x:v>
      </x:c>
      <x:c r="C92" s="2" t="str">
        <x:v>运输架次</x:v>
      </x:c>
      <x:c r="D92" s="2" t="str">
        <x:v>Q3-T-020</x:v>
      </x:c>
      <x:c r="E92" s="2" t="str">
        <x:v>运输机C</x:v>
      </x:c>
      <x:c r="F92" s="2" t="str">
        <x:v>3组-G2-UC-01</x:v>
      </x:c>
      <x:c r="G92" s="8" t="n">
        <x:v>7868.30235596</x:v>
      </x:c>
      <x:c r="H92" s="8" t="n">
        <x:v>9362.47740188</x:v>
      </x:c>
      <x:c r="I92" s="8" t="n">
        <x:v>9362.47740188</x:v>
      </x:c>
    </x:row>
    <x:row r="93" ht="23" customHeight="1">
      <x:c r="A93" s="7" t="str">
        <x:v>3组</x:v>
      </x:c>
      <x:c r="B93" s="7" t="str">
        <x:v>G2</x:v>
      </x:c>
      <x:c r="C93" s="7" t="str">
        <x:v>运输架次</x:v>
      </x:c>
      <x:c r="D93" s="7" t="str">
        <x:v>Q3-T-020</x:v>
      </x:c>
      <x:c r="E93" s="7" t="str">
        <x:v>运输电池C</x:v>
      </x:c>
      <x:c r="F93" s="7" t="str">
        <x:v>3组-G2-BATC-02</x:v>
      </x:c>
      <x:c r="G93" s="9" t="n">
        <x:v>7868.30235596</x:v>
      </x:c>
      <x:c r="H93" s="9" t="n">
        <x:v>9362.47740188</x:v>
      </x:c>
      <x:c r="I93" s="9" t="n">
        <x:v>11007.1666825</x:v>
      </x:c>
    </x:row>
    <x:row r="94" ht="23" customHeight="1">
      <x:c r="A94" s="2" t="str">
        <x:v>3组</x:v>
      </x:c>
      <x:c r="B94" s="2" t="str">
        <x:v>G2</x:v>
      </x:c>
      <x:c r="C94" s="2" t="str">
        <x:v>运输架次</x:v>
      </x:c>
      <x:c r="D94" s="2" t="str">
        <x:v>Q3-T-022</x:v>
      </x:c>
      <x:c r="E94" s="2" t="str">
        <x:v>运输机C</x:v>
      </x:c>
      <x:c r="F94" s="2" t="str">
        <x:v>3组-G2-UC-01</x:v>
      </x:c>
      <x:c r="G94" s="8" t="n">
        <x:v>9845.13122791</x:v>
      </x:c>
      <x:c r="H94" s="8" t="n">
        <x:v>11339.3062738</x:v>
      </x:c>
      <x:c r="I94" s="8" t="n">
        <x:v>11339.3062738</x:v>
      </x:c>
    </x:row>
    <x:row r="95" ht="23" customHeight="1">
      <x:c r="A95" s="7" t="str">
        <x:v>3组</x:v>
      </x:c>
      <x:c r="B95" s="7" t="str">
        <x:v>G2</x:v>
      </x:c>
      <x:c r="C95" s="7" t="str">
        <x:v>运输架次</x:v>
      </x:c>
      <x:c r="D95" s="7" t="str">
        <x:v>Q3-T-022</x:v>
      </x:c>
      <x:c r="E95" s="7" t="str">
        <x:v>运输电池C</x:v>
      </x:c>
      <x:c r="F95" s="7" t="str">
        <x:v>3组-G2-BATC-01</x:v>
      </x:c>
      <x:c r="G95" s="9" t="n">
        <x:v>9845.13122791</x:v>
      </x:c>
      <x:c r="H95" s="9" t="n">
        <x:v>11339.3062738</x:v>
      </x:c>
      <x:c r="I95" s="9" t="n">
        <x:v>12824.0014553</x:v>
      </x:c>
    </x:row>
    <x:row r="96" ht="23" customHeight="1">
      <x:c r="A96" s="2" t="str">
        <x:v>3组</x:v>
      </x:c>
      <x:c r="B96" s="2" t="str">
        <x:v>G2</x:v>
      </x:c>
      <x:c r="C96" s="2" t="str">
        <x:v>中继架次</x:v>
      </x:c>
      <x:c r="D96" s="2" t="str">
        <x:v>Q3-R-001</x:v>
      </x:c>
      <x:c r="E96" s="2" t="str">
        <x:v>中继无人机</x:v>
      </x:c>
      <x:c r="F96" s="2" t="str">
        <x:v>3组-G2-R-01</x:v>
      </x:c>
      <x:c r="G96" s="8" t="n">
        <x:v>1</x:v>
      </x:c>
      <x:c r="H96" s="8" t="n">
        <x:v>3608.87268139</x:v>
      </x:c>
      <x:c r="I96" s="8" t="n">
        <x:v>3908.87268139</x:v>
      </x:c>
    </x:row>
    <x:row r="97" ht="23" customHeight="1">
      <x:c r="A97" s="7" t="str">
        <x:v>3组</x:v>
      </x:c>
      <x:c r="B97" s="7" t="str">
        <x:v>G2</x:v>
      </x:c>
      <x:c r="C97" s="7" t="str">
        <x:v>中继架次</x:v>
      </x:c>
      <x:c r="D97" s="7" t="str">
        <x:v>Q3-R-001</x:v>
      </x:c>
      <x:c r="E97" s="7" t="str">
        <x:v>中继能源组件</x:v>
      </x:c>
      <x:c r="F97" s="7" t="str">
        <x:v>3组-G2-RE-01</x:v>
      </x:c>
      <x:c r="G97" s="9" t="n">
        <x:v>1</x:v>
      </x:c>
      <x:c r="H97" s="9" t="n">
        <x:v>3608.87268139</x:v>
      </x:c>
      <x:c r="I97" s="9" t="n">
        <x:v>4514.10659103</x:v>
      </x:c>
    </x:row>
    <x:row r="98" ht="23" customHeight="1">
      <x:c r="A98" s="2" t="str">
        <x:v>3组</x:v>
      </x:c>
      <x:c r="B98" s="2" t="str">
        <x:v>G2</x:v>
      </x:c>
      <x:c r="C98" s="2" t="str">
        <x:v>中继架次</x:v>
      </x:c>
      <x:c r="D98" s="2" t="str">
        <x:v>Q3-R-003</x:v>
      </x:c>
      <x:c r="E98" s="2" t="str">
        <x:v>中继无人机</x:v>
      </x:c>
      <x:c r="F98" s="2" t="str">
        <x:v>3组-G2-R-02</x:v>
      </x:c>
      <x:c r="G98" s="8" t="n">
        <x:v>2047.31795815</x:v>
      </x:c>
      <x:c r="H98" s="8" t="n">
        <x:v>8019.43159858</x:v>
      </x:c>
      <x:c r="I98" s="8" t="n">
        <x:v>8319.43159858</x:v>
      </x:c>
    </x:row>
    <x:row r="99" ht="23" customHeight="1">
      <x:c r="A99" s="7" t="str">
        <x:v>3组</x:v>
      </x:c>
      <x:c r="B99" s="7" t="str">
        <x:v>G2</x:v>
      </x:c>
      <x:c r="C99" s="7" t="str">
        <x:v>中继架次</x:v>
      </x:c>
      <x:c r="D99" s="7" t="str">
        <x:v>Q3-R-003</x:v>
      </x:c>
      <x:c r="E99" s="7" t="str">
        <x:v>中继能源组件</x:v>
      </x:c>
      <x:c r="F99" s="7" t="str">
        <x:v>3组-G2-RE-02</x:v>
      </x:c>
      <x:c r="G99" s="9" t="n">
        <x:v>2047.31795815</x:v>
      </x:c>
      <x:c r="H99" s="9" t="n">
        <x:v>8019.43159858</x:v>
      </x:c>
      <x:c r="I99" s="9" t="n">
        <x:v>9217.86527148</x:v>
      </x:c>
    </x:row>
    <x:row r="100" ht="23" customHeight="1">
      <x:c r="A100" s="2" t="str">
        <x:v>3组</x:v>
      </x:c>
      <x:c r="B100" s="2" t="str">
        <x:v>G3</x:v>
      </x:c>
      <x:c r="C100" s="2" t="str">
        <x:v>运输架次</x:v>
      </x:c>
      <x:c r="D100" s="2" t="str">
        <x:v>Q3-T-002</x:v>
      </x:c>
      <x:c r="E100" s="2" t="str">
        <x:v>运输机A</x:v>
      </x:c>
      <x:c r="F100" s="2" t="str">
        <x:v>3组-G3-UA-02</x:v>
      </x:c>
      <x:c r="G100" s="8" t="n">
        <x:v>5.4094540827</x:v>
      </x:c>
      <x:c r="H100" s="8" t="n">
        <x:v>1995.80833937</x:v>
      </x:c>
      <x:c r="I100" s="8" t="n">
        <x:v>1995.80833937</x:v>
      </x:c>
    </x:row>
    <x:row r="101" ht="23" customHeight="1">
      <x:c r="A101" s="7" t="str">
        <x:v>3组</x:v>
      </x:c>
      <x:c r="B101" s="7" t="str">
        <x:v>G3</x:v>
      </x:c>
      <x:c r="C101" s="7" t="str">
        <x:v>运输架次</x:v>
      </x:c>
      <x:c r="D101" s="7" t="str">
        <x:v>Q3-T-002</x:v>
      </x:c>
      <x:c r="E101" s="7" t="str">
        <x:v>运输电池A</x:v>
      </x:c>
      <x:c r="F101" s="7" t="str">
        <x:v>3组-G3-BATA-02</x:v>
      </x:c>
      <x:c r="G101" s="9" t="n">
        <x:v>5.4094540827</x:v>
      </x:c>
      <x:c r="H101" s="9" t="n">
        <x:v>1995.80833937</x:v>
      </x:c>
      <x:c r="I101" s="9" t="n">
        <x:v>3157.61763979</x:v>
      </x:c>
    </x:row>
    <x:row r="102" ht="23" customHeight="1">
      <x:c r="A102" s="2" t="str">
        <x:v>3组</x:v>
      </x:c>
      <x:c r="B102" s="2" t="str">
        <x:v>G3</x:v>
      </x:c>
      <x:c r="C102" s="2" t="str">
        <x:v>运输架次</x:v>
      </x:c>
      <x:c r="D102" s="2" t="str">
        <x:v>Q3-T-004</x:v>
      </x:c>
      <x:c r="E102" s="2" t="str">
        <x:v>运输机A</x:v>
      </x:c>
      <x:c r="F102" s="2" t="str">
        <x:v>3组-G3-UA-01</x:v>
      </x:c>
      <x:c r="G102" s="8" t="n">
        <x:v>5.4094540827</x:v>
      </x:c>
      <x:c r="H102" s="8" t="n">
        <x:v>1600.30212399</x:v>
      </x:c>
      <x:c r="I102" s="8" t="n">
        <x:v>1600.30212399</x:v>
      </x:c>
    </x:row>
    <x:row r="103" ht="23" customHeight="1">
      <x:c r="A103" s="7" t="str">
        <x:v>3组</x:v>
      </x:c>
      <x:c r="B103" s="7" t="str">
        <x:v>G3</x:v>
      </x:c>
      <x:c r="C103" s="7" t="str">
        <x:v>运输架次</x:v>
      </x:c>
      <x:c r="D103" s="7" t="str">
        <x:v>Q3-T-004</x:v>
      </x:c>
      <x:c r="E103" s="7" t="str">
        <x:v>运输电池A</x:v>
      </x:c>
      <x:c r="F103" s="7" t="str">
        <x:v>3组-G3-BATA-01</x:v>
      </x:c>
      <x:c r="G103" s="9" t="n">
        <x:v>5.4094540827</x:v>
      </x:c>
      <x:c r="H103" s="9" t="n">
        <x:v>1600.30212399</x:v>
      </x:c>
      <x:c r="I103" s="9" t="n">
        <x:v>2639.93644967</x:v>
      </x:c>
    </x:row>
    <x:row r="104" ht="23" customHeight="1">
      <x:c r="A104" s="2" t="str">
        <x:v>3组</x:v>
      </x:c>
      <x:c r="B104" s="2" t="str">
        <x:v>G3</x:v>
      </x:c>
      <x:c r="C104" s="2" t="str">
        <x:v>运输架次</x:v>
      </x:c>
      <x:c r="D104" s="2" t="str">
        <x:v>Q3-T-011</x:v>
      </x:c>
      <x:c r="E104" s="2" t="str">
        <x:v>运输机A</x:v>
      </x:c>
      <x:c r="F104" s="2" t="str">
        <x:v>3组-G3-UA-01</x:v>
      </x:c>
      <x:c r="G104" s="8" t="n">
        <x:v>1600.30212399</x:v>
      </x:c>
      <x:c r="H104" s="8" t="n">
        <x:v>3530.70100928</x:v>
      </x:c>
      <x:c r="I104" s="8" t="n">
        <x:v>3530.70100928</x:v>
      </x:c>
    </x:row>
    <x:row r="105" ht="23" customHeight="1">
      <x:c r="A105" s="7" t="str">
        <x:v>3组</x:v>
      </x:c>
      <x:c r="B105" s="7" t="str">
        <x:v>G3</x:v>
      </x:c>
      <x:c r="C105" s="7" t="str">
        <x:v>运输架次</x:v>
      </x:c>
      <x:c r="D105" s="7" t="str">
        <x:v>Q3-T-011</x:v>
      </x:c>
      <x:c r="E105" s="7" t="str">
        <x:v>运输电池A</x:v>
      </x:c>
      <x:c r="F105" s="7" t="str">
        <x:v>3组-G3-BATA-03</x:v>
      </x:c>
      <x:c r="G105" s="9" t="n">
        <x:v>1600.30212399</x:v>
      </x:c>
      <x:c r="H105" s="9" t="n">
        <x:v>3530.70100928</x:v>
      </x:c>
      <x:c r="I105" s="9" t="n">
        <x:v>4662.93221108</x:v>
      </x:c>
    </x:row>
    <x:row r="106" ht="23" customHeight="1">
      <x:c r="A106" s="2" t="str">
        <x:v>3组</x:v>
      </x:c>
      <x:c r="B106" s="2" t="str">
        <x:v>G3</x:v>
      </x:c>
      <x:c r="C106" s="2" t="str">
        <x:v>运输架次</x:v>
      </x:c>
      <x:c r="D106" s="2" t="str">
        <x:v>Q3-T-009</x:v>
      </x:c>
      <x:c r="E106" s="2" t="str">
        <x:v>运输机B</x:v>
      </x:c>
      <x:c r="F106" s="2" t="str">
        <x:v>3组-G3-UB-01</x:v>
      </x:c>
      <x:c r="G106" s="8" t="n">
        <x:v>1212.67946544</x:v>
      </x:c>
      <x:c r="H106" s="8" t="n">
        <x:v>2723.19105422</x:v>
      </x:c>
      <x:c r="I106" s="8" t="n">
        <x:v>2723.19105422</x:v>
      </x:c>
    </x:row>
    <x:row r="107" ht="23" customHeight="1">
      <x:c r="A107" s="7" t="str">
        <x:v>3组</x:v>
      </x:c>
      <x:c r="B107" s="7" t="str">
        <x:v>G3</x:v>
      </x:c>
      <x:c r="C107" s="7" t="str">
        <x:v>运输架次</x:v>
      </x:c>
      <x:c r="D107" s="7" t="str">
        <x:v>Q3-T-009</x:v>
      </x:c>
      <x:c r="E107" s="7" t="str">
        <x:v>运输电池B</x:v>
      </x:c>
      <x:c r="F107" s="7" t="str">
        <x:v>3组-G3-BATB-01</x:v>
      </x:c>
      <x:c r="G107" s="9" t="n">
        <x:v>1212.67946544</x:v>
      </x:c>
      <x:c r="H107" s="9" t="n">
        <x:v>2723.19105422</x:v>
      </x:c>
      <x:c r="I107" s="9" t="n">
        <x:v>4180.61660375</x:v>
      </x:c>
    </x:row>
    <x:row r="108" ht="23" customHeight="1">
      <x:c r="A108" s="2" t="str">
        <x:v>3组</x:v>
      </x:c>
      <x:c r="B108" s="2" t="str">
        <x:v>G3</x:v>
      </x:c>
      <x:c r="C108" s="2" t="str">
        <x:v>运输架次</x:v>
      </x:c>
      <x:c r="D108" s="2" t="str">
        <x:v>Q3-T-017</x:v>
      </x:c>
      <x:c r="E108" s="2" t="str">
        <x:v>运输机B</x:v>
      </x:c>
      <x:c r="F108" s="2" t="str">
        <x:v>3组-G3-UB-01</x:v>
      </x:c>
      <x:c r="G108" s="8" t="n">
        <x:v>4752.06342071</x:v>
      </x:c>
      <x:c r="H108" s="8" t="n">
        <x:v>5940.48818355</x:v>
      </x:c>
      <x:c r="I108" s="8" t="n">
        <x:v>5940.48818355</x:v>
      </x:c>
    </x:row>
    <x:row r="109" ht="23" customHeight="1">
      <x:c r="A109" s="7" t="str">
        <x:v>3组</x:v>
      </x:c>
      <x:c r="B109" s="7" t="str">
        <x:v>G3</x:v>
      </x:c>
      <x:c r="C109" s="7" t="str">
        <x:v>运输架次</x:v>
      </x:c>
      <x:c r="D109" s="7" t="str">
        <x:v>Q3-T-017</x:v>
      </x:c>
      <x:c r="E109" s="7" t="str">
        <x:v>运输电池B</x:v>
      </x:c>
      <x:c r="F109" s="7" t="str">
        <x:v>3组-G3-BATB-01</x:v>
      </x:c>
      <x:c r="G109" s="9" t="n">
        <x:v>4752.06342071</x:v>
      </x:c>
      <x:c r="H109" s="9" t="n">
        <x:v>5940.48818355</x:v>
      </x:c>
      <x:c r="I109" s="9" t="n">
        <x:v>7072.52741426</x:v>
      </x:c>
    </x:row>
    <x:row r="110" ht="23" customHeight="1">
      <x:c r="A110" s="2" t="str">
        <x:v>3组</x:v>
      </x:c>
      <x:c r="B110" s="2" t="str">
        <x:v>G3</x:v>
      </x:c>
      <x:c r="C110" s="2" t="str">
        <x:v>运输架次</x:v>
      </x:c>
      <x:c r="D110" s="2" t="str">
        <x:v>Q3-T-008</x:v>
      </x:c>
      <x:c r="E110" s="2" t="str">
        <x:v>运输机C</x:v>
      </x:c>
      <x:c r="F110" s="2" t="str">
        <x:v>3组-G3-UC-01</x:v>
      </x:c>
      <x:c r="G110" s="8" t="n">
        <x:v>5.4094540827</x:v>
      </x:c>
      <x:c r="H110" s="8" t="n">
        <x:v>1608.141819</x:v>
      </x:c>
      <x:c r="I110" s="8" t="n">
        <x:v>1608.141819</x:v>
      </x:c>
    </x:row>
    <x:row r="111" ht="23" customHeight="1">
      <x:c r="A111" s="7" t="str">
        <x:v>3组</x:v>
      </x:c>
      <x:c r="B111" s="7" t="str">
        <x:v>G3</x:v>
      </x:c>
      <x:c r="C111" s="7" t="str">
        <x:v>运输架次</x:v>
      </x:c>
      <x:c r="D111" s="7" t="str">
        <x:v>Q3-T-008</x:v>
      </x:c>
      <x:c r="E111" s="7" t="str">
        <x:v>运输电池C</x:v>
      </x:c>
      <x:c r="F111" s="7" t="str">
        <x:v>3组-G3-BATC-01</x:v>
      </x:c>
      <x:c r="G111" s="9" t="n">
        <x:v>5.4094540827</x:v>
      </x:c>
      <x:c r="H111" s="9" t="n">
        <x:v>1608.141819</x:v>
      </x:c>
      <x:c r="I111" s="9" t="n">
        <x:v>3294.56241067</x:v>
      </x:c>
    </x:row>
    <x:row r="112" ht="23" customHeight="1">
      <x:c r="A112" s="2" t="str">
        <x:v>3组</x:v>
      </x:c>
      <x:c r="B112" s="2" t="str">
        <x:v>G3</x:v>
      </x:c>
      <x:c r="C112" s="2" t="str">
        <x:v>运输架次</x:v>
      </x:c>
      <x:c r="D112" s="2" t="str">
        <x:v>Q3-T-013</x:v>
      </x:c>
      <x:c r="E112" s="2" t="str">
        <x:v>运输机C</x:v>
      </x:c>
      <x:c r="F112" s="2" t="str">
        <x:v>3组-G3-UC-01</x:v>
      </x:c>
      <x:c r="G112" s="8" t="n">
        <x:v>3690.05892162</x:v>
      </x:c>
      <x:c r="H112" s="8" t="n">
        <x:v>5991.11364043</x:v>
      </x:c>
      <x:c r="I112" s="8" t="n">
        <x:v>5991.11364043</x:v>
      </x:c>
    </x:row>
    <x:row r="113" ht="23" customHeight="1">
      <x:c r="A113" s="7" t="str">
        <x:v>3组</x:v>
      </x:c>
      <x:c r="B113" s="7" t="str">
        <x:v>G3</x:v>
      </x:c>
      <x:c r="C113" s="7" t="str">
        <x:v>运输架次</x:v>
      </x:c>
      <x:c r="D113" s="7" t="str">
        <x:v>Q3-T-013</x:v>
      </x:c>
      <x:c r="E113" s="7" t="str">
        <x:v>运输电池C</x:v>
      </x:c>
      <x:c r="F113" s="7" t="str">
        <x:v>3组-G3-BATC-01</x:v>
      </x:c>
      <x:c r="G113" s="9" t="n">
        <x:v>3690.05892162</x:v>
      </x:c>
      <x:c r="H113" s="9" t="n">
        <x:v>5991.11364043</x:v>
      </x:c>
      <x:c r="I113" s="9" t="n">
        <x:v>8490.84659202</x:v>
      </x:c>
    </x:row>
    <x:row r="114" ht="23" customHeight="1">
      <x:c r="A114" s="2" t="str">
        <x:v>3组</x:v>
      </x:c>
      <x:c r="B114" s="2" t="str">
        <x:v>G3</x:v>
      </x:c>
      <x:c r="C114" s="2" t="str">
        <x:v>中继架次</x:v>
      </x:c>
      <x:c r="D114" s="2" t="str">
        <x:v>Q3-R-001</x:v>
      </x:c>
      <x:c r="E114" s="2" t="str">
        <x:v>中继无人机</x:v>
      </x:c>
      <x:c r="F114" s="2" t="str">
        <x:v>3组-G3-R-01</x:v>
      </x:c>
      <x:c r="G114" s="8" t="n">
        <x:v>1</x:v>
      </x:c>
      <x:c r="H114" s="8" t="n">
        <x:v>3608.87268139</x:v>
      </x:c>
      <x:c r="I114" s="8" t="n">
        <x:v>3908.87268139</x:v>
      </x:c>
    </x:row>
    <x:row r="115" ht="23" customHeight="1">
      <x:c r="A115" s="7" t="str">
        <x:v>3组</x:v>
      </x:c>
      <x:c r="B115" s="7" t="str">
        <x:v>G3</x:v>
      </x:c>
      <x:c r="C115" s="7" t="str">
        <x:v>中继架次</x:v>
      </x:c>
      <x:c r="D115" s="7" t="str">
        <x:v>Q3-R-001</x:v>
      </x:c>
      <x:c r="E115" s="7" t="str">
        <x:v>中继能源组件</x:v>
      </x:c>
      <x:c r="F115" s="7" t="str">
        <x:v>3组-G3-RE-01</x:v>
      </x:c>
      <x:c r="G115" s="9" t="n">
        <x:v>1</x:v>
      </x:c>
      <x:c r="H115" s="9" t="n">
        <x:v>3608.87268139</x:v>
      </x:c>
      <x:c r="I115" s="9" t="n">
        <x:v>4514.10659103</x:v>
      </x:c>
    </x:row>
    <x:row r="116" ht="23" customHeight="1">
      <x:c r="A116" s="2" t="str">
        <x:v>3组</x:v>
      </x:c>
      <x:c r="B116" s="2" t="str">
        <x:v>G3</x:v>
      </x:c>
      <x:c r="C116" s="2" t="str">
        <x:v>中继架次</x:v>
      </x:c>
      <x:c r="D116" s="2" t="str">
        <x:v>Q3-R-004</x:v>
      </x:c>
      <x:c r="E116" s="2" t="str">
        <x:v>中继无人机</x:v>
      </x:c>
      <x:c r="F116" s="2" t="str">
        <x:v>3组-G3-R-01</x:v>
      </x:c>
      <x:c r="G116" s="8" t="n">
        <x:v>3909.87268139</x:v>
      </x:c>
      <x:c r="H116" s="8" t="n">
        <x:v>6055.15734599</x:v>
      </x:c>
      <x:c r="I116" s="8" t="n">
        <x:v>6355.15734599</x:v>
      </x:c>
    </x:row>
    <x:row r="117" ht="23" customHeight="1">
      <x:c r="A117" s="7" t="str">
        <x:v>3组</x:v>
      </x:c>
      <x:c r="B117" s="7" t="str">
        <x:v>G3</x:v>
      </x:c>
      <x:c r="C117" s="7" t="str">
        <x:v>中继架次</x:v>
      </x:c>
      <x:c r="D117" s="7" t="str">
        <x:v>Q3-R-004</x:v>
      </x:c>
      <x:c r="E117" s="7" t="str">
        <x:v>中继能源组件</x:v>
      </x:c>
      <x:c r="F117" s="7" t="str">
        <x:v>3组-G3-RE-02</x:v>
      </x:c>
      <x:c r="G117" s="9" t="n">
        <x:v>3909.87268139</x:v>
      </x:c>
      <x:c r="H117" s="9" t="n">
        <x:v>6055.15734599</x:v>
      </x:c>
      <x:c r="I117" s="9" t="n">
        <x:v>6782.21447044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A8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4" hidden="0" customWidth="1"/>
    <x:col min="5" max="5" width="19" hidden="0" customWidth="1"/>
  </x:cols>
  <x:sheetData>
    <x:row r="1" ht="42" customHeight="1">
      <x:c r="A1" s="6" t="str">
        <x:v>scenario</x:v>
      </x:c>
      <x:c r="B1" s="6" t="str">
        <x:v>relay_flight_id</x:v>
      </x:c>
      <x:c r="C1" s="6" t="str">
        <x:v>assigned_groups</x:v>
      </x:c>
      <x:c r="D1" s="6" t="str">
        <x:v>copy_count</x:v>
      </x:c>
      <x:c r="E1" s="6" t="str">
        <x:v>additional_copies</x:v>
      </x:c>
    </x:row>
    <x:row r="2" ht="23" customHeight="1">
      <x:c r="A2" s="2" t="str">
        <x:v>2组</x:v>
      </x:c>
      <x:c r="B2" s="2" t="str">
        <x:v>Q3-R-001</x:v>
      </x:c>
      <x:c r="C2" s="2" t="str">
        <x:v>G1;G2</x:v>
      </x:c>
      <x:c r="D2" s="2" t="n">
        <x:v>2</x:v>
      </x:c>
      <x:c r="E2" s="2" t="n">
        <x:v>1</x:v>
      </x:c>
    </x:row>
    <x:row r="3" ht="23" customHeight="1">
      <x:c r="A3" s="7" t="str">
        <x:v>2组</x:v>
      </x:c>
      <x:c r="B3" s="7" t="str">
        <x:v>Q3-R-002</x:v>
      </x:c>
      <x:c r="C3" s="7" t="str">
        <x:v>G1</x:v>
      </x:c>
      <x:c r="D3" s="7" t="n">
        <x:v>1</x:v>
      </x:c>
      <x:c r="E3" s="7" t="n">
        <x:v>0</x:v>
      </x:c>
    </x:row>
    <x:row r="4" ht="23" customHeight="1">
      <x:c r="A4" s="2" t="str">
        <x:v>2组</x:v>
      </x:c>
      <x:c r="B4" s="2" t="str">
        <x:v>Q3-R-003</x:v>
      </x:c>
      <x:c r="C4" s="2" t="str">
        <x:v>G1;G2</x:v>
      </x:c>
      <x:c r="D4" s="2" t="n">
        <x:v>2</x:v>
      </x:c>
      <x:c r="E4" s="2" t="n">
        <x:v>1</x:v>
      </x:c>
    </x:row>
    <x:row r="5" ht="23" customHeight="1">
      <x:c r="A5" s="7" t="str">
        <x:v>2组</x:v>
      </x:c>
      <x:c r="B5" s="7" t="str">
        <x:v>Q3-R-004</x:v>
      </x:c>
      <x:c r="C5" s="7" t="str">
        <x:v>G1</x:v>
      </x:c>
      <x:c r="D5" s="7" t="n">
        <x:v>1</x:v>
      </x:c>
      <x:c r="E5" s="7" t="n">
        <x:v>0</x:v>
      </x:c>
    </x:row>
    <x:row r="6" ht="23" customHeight="1">
      <x:c r="A6" s="2" t="str">
        <x:v>2组</x:v>
      </x:c>
      <x:c r="B6" s="2" t="str">
        <x:v>Q3-R-005</x:v>
      </x:c>
      <x:c r="C6" s="2" t="str">
        <x:v>G1</x:v>
      </x:c>
      <x:c r="D6" s="2" t="n">
        <x:v>1</x:v>
      </x:c>
      <x:c r="E6" s="2" t="n">
        <x:v>0</x:v>
      </x:c>
    </x:row>
    <x:row r="7" ht="23" customHeight="1">
      <x:c r="A7" s="7" t="str">
        <x:v>3组</x:v>
      </x:c>
      <x:c r="B7" s="7" t="str">
        <x:v>Q3-R-001</x:v>
      </x:c>
      <x:c r="C7" s="7" t="str">
        <x:v>G2;G3</x:v>
      </x:c>
      <x:c r="D7" s="7" t="n">
        <x:v>2</x:v>
      </x:c>
      <x:c r="E7" s="7" t="n">
        <x:v>1</x:v>
      </x:c>
    </x:row>
    <x:row r="8" ht="23" customHeight="1">
      <x:c r="A8" s="2" t="str">
        <x:v>3组</x:v>
      </x:c>
      <x:c r="B8" s="2" t="str">
        <x:v>Q3-R-002</x:v>
      </x:c>
      <x:c r="C8" s="2" t="str">
        <x:v>G1</x:v>
      </x:c>
      <x:c r="D8" s="2" t="n">
        <x:v>1</x:v>
      </x:c>
      <x:c r="E8" s="2" t="n">
        <x:v>0</x:v>
      </x:c>
    </x:row>
    <x:row r="9" ht="23" customHeight="1">
      <x:c r="A9" s="7" t="str">
        <x:v>3组</x:v>
      </x:c>
      <x:c r="B9" s="7" t="str">
        <x:v>Q3-R-003</x:v>
      </x:c>
      <x:c r="C9" s="7" t="str">
        <x:v>G1;G2</x:v>
      </x:c>
      <x:c r="D9" s="7" t="n">
        <x:v>2</x:v>
      </x:c>
      <x:c r="E9" s="7" t="n">
        <x:v>1</x:v>
      </x:c>
    </x:row>
    <x:row r="10" ht="23" customHeight="1">
      <x:c r="A10" s="2" t="str">
        <x:v>3组</x:v>
      </x:c>
      <x:c r="B10" s="2" t="str">
        <x:v>Q3-R-004</x:v>
      </x:c>
      <x:c r="C10" s="2" t="str">
        <x:v>G3</x:v>
      </x:c>
      <x:c r="D10" s="2" t="n">
        <x:v>1</x:v>
      </x:c>
      <x:c r="E10" s="2" t="n">
        <x:v>0</x:v>
      </x:c>
    </x:row>
    <x:row r="11" ht="23" customHeight="1">
      <x:c r="A11" s="7" t="str">
        <x:v>3组</x:v>
      </x:c>
      <x:c r="B11" s="7" t="str">
        <x:v>Q3-R-005</x:v>
      </x:c>
      <x:c r="C11" s="7" t="str">
        <x:v>G1</x:v>
      </x:c>
      <x:c r="D11" s="7" t="n">
        <x:v>1</x:v>
      </x:c>
      <x:c r="E11" s="7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FA8C4"/>
  </x:sheetPr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20" hidden="0" customWidth="1"/>
  </x:cols>
  <x:sheetData>
    <x:row r="1" ht="42" customHeight="1">
      <x:c r="A1" s="6" t="str">
        <x:v>scenario</x:v>
      </x:c>
      <x:c r="B1" s="6" t="str">
        <x:v>enumerated_partitions</x:v>
      </x:c>
      <x:c r="C1" s="6" t="str">
        <x:v>min_relative_deficit</x:v>
      </x:c>
      <x:c r="D1" s="6" t="str">
        <x:v>resource_redundancy_index</x:v>
      </x:c>
      <x:c r="E1" s="6" t="str">
        <x:v>workload_balance_cv</x:v>
      </x:c>
      <x:c r="F1" s="6" t="str">
        <x:v>spatial_dispersion_ratio</x:v>
      </x:c>
      <x:c r="G1" s="6" t="str">
        <x:v>ideal_distance</x:v>
      </x:c>
      <x:c r="H1" s="6" t="str">
        <x:v>total_deficit_units</x:v>
      </x:c>
    </x:row>
    <x:row r="2" ht="23" customHeight="1">
      <x:c r="A2" s="2" t="str">
        <x:v>2组</x:v>
      </x:c>
      <x:c r="B2" s="2" t="n">
        <x:v>8191</x:v>
      </x:c>
      <x:c r="C2" s="10" t="n">
        <x:v>1</x:v>
      </x:c>
      <x:c r="D2" s="10" t="n">
        <x:v>1.33333333333</x:v>
      </x:c>
      <x:c r="E2" s="10" t="n">
        <x:v>0.101993275809</x:v>
      </x:c>
      <x:c r="F2" s="10" t="n">
        <x:v>0.985047425876</x:v>
      </x:c>
      <x:c r="G2" s="10" t="n">
        <x:v>0</x:v>
      </x:c>
      <x:c r="H2" s="2" t="n">
        <x:v>2</x:v>
      </x:c>
    </x:row>
    <x:row r="3" ht="23" customHeight="1">
      <x:c r="A3" s="7" t="str">
        <x:v>3组</x:v>
      </x:c>
      <x:c r="B3" s="7" t="n">
        <x:v>788970</x:v>
      </x:c>
      <x:c r="C3" s="11" t="n">
        <x:v>2.5</x:v>
      </x:c>
      <x:c r="D3" s="11" t="n">
        <x:v>3</x:v>
      </x:c>
      <x:c r="E3" s="11" t="n">
        <x:v>0.177375131129</x:v>
      </x:c>
      <x:c r="F3" s="11" t="n">
        <x:v>0.501057188252</x:v>
      </x:c>
      <x:c r="G3" s="11" t="n">
        <x:v>0</x:v>
      </x:c>
      <x:c r="H3" s="7" t="n">
        <x:v>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FA8C4"/>
  </x:sheetPr>
  <x:sheetViews>
    <x:sheetView showGridLines="0" workbookViewId="0"/>
  </x:sheetViews>
  <x:sheetFormatPr defaultRowHeight="15"/>
  <x:cols>
    <x:col min="1" max="1" width="27" hidden="0" customWidth="1"/>
    <x:col min="2" max="2" width="112" hidden="0" customWidth="1"/>
  </x:cols>
  <x:sheetData>
    <x:row r="1" ht="42" customHeight="1">
      <x:c r="A1" s="6" t="str">
        <x:v>项目</x:v>
      </x:c>
      <x:c r="B1" s="6" t="str">
        <x:v>说明</x:v>
      </x:c>
    </x:row>
    <x:row r="2" ht="49" customHeight="1">
      <x:c r="A2" s="2" t="str">
        <x:v>数据继承</x:v>
      </x:c>
      <x:c r="B2" s="16" t="str">
        <x:v>固定问题三22个运输架次、5个中继架次、时间、路线、合批、通信关系和充电完成时刻。</x:v>
      </x:c>
    </x:row>
    <x:row r="3" ht="49" customHeight="1">
      <x:c r="A3" s="7" t="str">
        <x:v>分区约束</x:v>
      </x:c>
      <x:c r="B3" s="17" t="str">
        <x:v>每个服务区唯一归组、组非空；同一运输架次涉及的服务区同组，因此S006与S007构成不可拆单元。</x:v>
      </x:c>
    </x:row>
    <x:row r="4" ht="49" customHeight="1">
      <x:c r="A4" s="2" t="str">
        <x:v>运输机占用</x:v>
      </x:c>
      <x:c r="B4" s="16" t="str">
        <x:v>从架次开始到返航。</x:v>
      </x:c>
    </x:row>
    <x:row r="5" ht="49" customHeight="1">
      <x:c r="A5" s="7" t="str">
        <x:v>运输电池占用</x:v>
      </x:c>
      <x:c r="B5" s="17" t="str">
        <x:v>从架次开始到该电池充满；充电期间不可跨组复用。</x:v>
      </x:c>
    </x:row>
    <x:row r="6" ht="49" customHeight="1">
      <x:c r="A6" s="2" t="str">
        <x:v>中继机占用</x:v>
      </x:c>
      <x:c r="B6" s="16" t="str">
        <x:v>从架次开始到返航后300秒周转结束。</x:v>
      </x:c>
    </x:row>
    <x:row r="7" ht="49" customHeight="1">
      <x:c r="A7" s="7" t="str">
        <x:v>中继能源占用</x:v>
      </x:c>
      <x:c r="B7" s="17" t="str">
        <x:v>从架次开始到能源组件充满。</x:v>
      </x:c>
    </x:row>
    <x:row r="8" ht="49" customHeight="1">
      <x:c r="A8" s="2" t="str">
        <x:v>资源需求</x:v>
      </x:c>
      <x:c r="B8" s="16" t="str">
        <x:v>组内最低数量等于任务占用区间最大重叠数，并由最优区间图着色给出具体编号。</x:v>
      </x:c>
    </x:row>
    <x:row r="9" ht="49" customHeight="1">
      <x:c r="A9" s="7" t="str">
        <x:v>中继复制</x:v>
      </x:c>
      <x:c r="B9" s="17" t="str">
        <x:v>原中继架次若保障多个组的运输任务，则每组独立复制，悬停点、海拔、服务窗口和保障关系保持不变。</x:v>
      </x:c>
    </x:row>
    <x:row r="10" ht="49" customHeight="1">
      <x:c r="A10" s="2" t="str">
        <x:v>工作量</x:v>
      </x:c>
      <x:c r="B10" s="16" t="str">
        <x:v>货箱、运输架次、运输能耗、运输忙时、中继副本、中继服务时长的加权变异系数。</x:v>
      </x:c>
    </x:row>
    <x:row r="11" ht="49" customHeight="1">
      <x:c r="A11" s="7" t="str">
        <x:v>选择规则</x:v>
      </x:c>
      <x:c r="B11" s="17" t="str">
        <x:v>工作量ε约束内，先最小相对库存缺口，再按40%冗余、45%均衡、15%空间离散的理想点距离。</x:v>
      </x:c>
    </x:row>
    <x:row r="12" ht="49" customHeight="1">
      <x:c r="A12" s="2" t="str">
        <x:v>验证</x:v>
      </x:c>
      <x:c r="B12" s="16" t="str">
        <x:v>独立校验16项全部通过。</x:v>
      </x:c>
    </x:row>
  </x:sheetData>
  <x:pageMargins left="0.7" right="0.7" top="0.75" bottom="0.75" header="0.3" footer="0.3"/>
</x:worksheet>
</file>