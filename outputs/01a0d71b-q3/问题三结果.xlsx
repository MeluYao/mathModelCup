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3b839ac65547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汇总" sheetId="1" r:id="R66cb50e7f4734831"/>
    <x:sheet xmlns:r="http://schemas.openxmlformats.org/officeDocument/2006/relationships" name="运输架次" sheetId="2" r:id="Rb1421a88d21b4074"/>
    <x:sheet xmlns:r="http://schemas.openxmlformats.org/officeDocument/2006/relationships" name="逐箱交付" sheetId="3" r:id="R6bbb58197d5b44d5"/>
    <x:sheet xmlns:r="http://schemas.openxmlformats.org/officeDocument/2006/relationships" name="中继架次" sheetId="4" r:id="Rbd10d67f476045ce"/>
    <x:sheet xmlns:r="http://schemas.openxmlformats.org/officeDocument/2006/relationships" name="通信保障" sheetId="5" r:id="R7d0423b7da1d43b6"/>
    <x:sheet xmlns:r="http://schemas.openxmlformats.org/officeDocument/2006/relationships" name="资源使用" sheetId="6" r:id="Rd274e04c85a9425b"/>
    <x:sheet xmlns:r="http://schemas.openxmlformats.org/officeDocument/2006/relationships" name="目标对照" sheetId="7" r:id="R1fbaa54e4cf347a6"/>
    <x:sheet xmlns:r="http://schemas.openxmlformats.org/officeDocument/2006/relationships" name="计算口径" sheetId="8" r:id="Rf498cc6d338c44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0"/>
    <x:numFmt numFmtId="202" formatCode="0.00%"/>
  </x:numFmts>
  <x:fonts count="6">
    <x:font>
      <x:sz val="11"/>
      <x:name val="Carlito"/>
    </x:font>
    <x:font>
      <x:sz val="9"/>
      <x:color rgb="FF203247"/>
      <x:name val="Microsoft YaHei"/>
    </x:font>
    <x:font>
      <x:b/>
      <x:sz val="9"/>
      <x:color rgb="FFFFFFFF"/>
      <x:name val="Microsoft YaHei"/>
    </x:font>
    <x:font>
      <x:b/>
      <x:sz val="17"/>
      <x:color rgb="FF173B44"/>
      <x:name val="Microsoft YaHei"/>
    </x:font>
    <x:font>
      <x:b/>
      <x:sz val="12"/>
      <x:color rgb="FF173B44"/>
      <x:name val="Microsoft YaHei"/>
    </x:font>
    <x:font>
      <x:b/>
      <x:sz val="10"/>
      <x:color rgb="FF275D67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75D67"/>
      </x:patternFill>
    </x:fill>
    <x:fill>
      <x:patternFill patternType="solid">
        <x:fgColor rgb="FFEFF5F4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658a2ce9144059" /><Relationship Type="http://schemas.openxmlformats.org/officeDocument/2006/relationships/theme" Target="/xl/theme/theme1.xml" Id="R9106a26d27854972" /><Relationship Type="http://schemas.microsoft.com/office/2022/11/relationships/FeaturePropertyBag" Target="/xl/featurePropertyBag/featurePropertyBag.xml" Id="R2c1cd681a2304b9d" /><Relationship Type="http://schemas.openxmlformats.org/officeDocument/2006/relationships/sharedStrings" Target="/xl/sharedStrings.xml" Id="Rf0a3a4b5fb664337" /><Relationship Type="http://schemas.openxmlformats.org/officeDocument/2006/relationships/worksheet" Target="/xl/worksheets/sheet1.xml" Id="R66cb50e7f4734831" /><Relationship Type="http://schemas.openxmlformats.org/officeDocument/2006/relationships/worksheet" Target="/xl/worksheets/sheet2.xml" Id="Rb1421a88d21b4074" /><Relationship Type="http://schemas.openxmlformats.org/officeDocument/2006/relationships/worksheet" Target="/xl/worksheets/sheet3.xml" Id="R6bbb58197d5b44d5" /><Relationship Type="http://schemas.openxmlformats.org/officeDocument/2006/relationships/worksheet" Target="/xl/worksheets/sheet4.xml" Id="Rbd10d67f476045ce" /><Relationship Type="http://schemas.openxmlformats.org/officeDocument/2006/relationships/worksheet" Target="/xl/worksheets/sheet5.xml" Id="R7d0423b7da1d43b6" /><Relationship Type="http://schemas.openxmlformats.org/officeDocument/2006/relationships/worksheet" Target="/xl/worksheets/sheet6.xml" Id="Rd274e04c85a9425b" /><Relationship Type="http://schemas.openxmlformats.org/officeDocument/2006/relationships/worksheet" Target="/xl/worksheets/sheet7.xml" Id="R1fbaa54e4cf347a6" /><Relationship Type="http://schemas.openxmlformats.org/officeDocument/2006/relationships/worksheet" Target="/xl/worksheets/sheet8.xml" Id="Rf498cc6d338c44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5D67"/>
  </x:sheetPr>
  <x:sheetViews>
    <x:sheetView showGridLines="0" workbookViewId="0"/>
  </x:sheetViews>
  <x:sheetFormatPr defaultRowHeight="15"/>
  <x:cols>
    <x:col min="1" max="1" width="32" hidden="0" customWidth="1"/>
    <x:col min="2" max="2" width="25" hidden="0" customWidth="1"/>
    <x:col min="3" max="3" width="18" hidden="0" customWidth="1"/>
  </x:cols>
  <x:sheetData>
    <x:row r="2">
      <x:c r="A2" s="22" t="str">
        <x:v>问题三运输—中继联合调度结果</x:v>
      </x:c>
    </x:row>
    <x:row r="4" ht="40" customHeight="1">
      <x:c r="A4" s="6" t="str">
        <x:v>指标</x:v>
      </x:c>
      <x:c r="B4" s="6" t="str">
        <x:v>主方案数值</x:v>
      </x:c>
      <x:c r="C4" s="6" t="str">
        <x:v>单位</x:v>
      </x:c>
    </x:row>
    <x:row r="5" ht="23" customHeight="1">
      <x:c r="A5" s="2" t="str">
        <x:v>硬时限违反</x:v>
      </x:c>
      <x:c r="B5" s="8" t="n">
        <x:v>0</x:v>
      </x:c>
      <x:c r="C5" s="2" t="str">
        <x:v>箱</x:v>
      </x:c>
    </x:row>
    <x:row r="6" ht="23" customHeight="1">
      <x:c r="A6" s="7" t="str">
        <x:v>交付货箱</x:v>
      </x:c>
      <x:c r="B6" s="9" t="n">
        <x:f>COUNTA('逐箱交付'!A2:A81)</x:f>
        <x:v>80</x:v>
      </x:c>
      <x:c r="C6" s="7" t="str">
        <x:v>箱</x:v>
      </x:c>
    </x:row>
    <x:row r="7" ht="23" customHeight="1">
      <x:c r="A7" s="2" t="str">
        <x:v>期望时间内送达</x:v>
      </x:c>
      <x:c r="B7" s="8" t="n">
        <x:v>63</x:v>
      </x:c>
      <x:c r="C7" s="2" t="str">
        <x:v>箱</x:v>
      </x:c>
    </x:row>
    <x:row r="8" ht="23" customHeight="1">
      <x:c r="A8" s="7" t="str">
        <x:v>运输架次</x:v>
      </x:c>
      <x:c r="B8" s="9" t="n">
        <x:f>COUNTA('运输架次'!P2:P23)</x:f>
        <x:v>22</x:v>
      </x:c>
      <x:c r="C8" s="7" t="str">
        <x:v>次</x:v>
      </x:c>
    </x:row>
    <x:row r="9" ht="23" customHeight="1">
      <x:c r="A9" s="2" t="str">
        <x:v>中继架次</x:v>
      </x:c>
      <x:c r="B9" s="8" t="n">
        <x:f>COUNTA('中继架次'!A2:A6)</x:f>
        <x:v>5</x:v>
      </x:c>
      <x:c r="C9" s="2" t="str">
        <x:v>次</x:v>
      </x:c>
    </x:row>
    <x:row r="10" ht="23" customHeight="1">
      <x:c r="A10" s="7" t="str">
        <x:v>联合任务完成时间</x:v>
      </x:c>
      <x:c r="B10" s="9" t="n">
        <x:f>MAX(MAX('运输架次'!F2:F23),MAX('中继架次'!M2:M6))</x:f>
        <x:v>11339.3062738</x:v>
      </x:c>
      <x:c r="C10" s="7" t="str">
        <x:v>s</x:v>
      </x:c>
    </x:row>
    <x:row r="11" ht="23" customHeight="1">
      <x:c r="A11" s="2" t="str">
        <x:v>联合任务完成时间</x:v>
      </x:c>
      <x:c r="B11" s="8" t="n">
        <x:f>B10/3600</x:f>
        <x:v>3.149807298277778</x:v>
      </x:c>
      <x:c r="C11" s="2" t="str">
        <x:v>h</x:v>
      </x:c>
    </x:row>
    <x:row r="12" ht="23" customHeight="1">
      <x:c r="A12" s="7" t="str">
        <x:v>运输能耗</x:v>
      </x:c>
      <x:c r="B12" s="9" t="n">
        <x:f>SUM('运输架次'!G2:G23)</x:f>
        <x:v>67.30489708849</x:v>
      </x:c>
      <x:c r="C12" s="7" t="str">
        <x:v>kWh</x:v>
      </x:c>
    </x:row>
    <x:row r="13" ht="23" customHeight="1">
      <x:c r="A13" s="2" t="str">
        <x:v>中继能耗</x:v>
      </x:c>
      <x:c r="B13" s="8" t="n">
        <x:f>SUM('中继架次'!N2:N6)</x:f>
        <x:v>4.084200680573</x:v>
      </x:c>
      <x:c r="C13" s="2" t="str">
        <x:v>kWh</x:v>
      </x:c>
    </x:row>
    <x:row r="14" ht="23" customHeight="1">
      <x:c r="A14" s="7" t="str">
        <x:v>总能耗</x:v>
      </x:c>
      <x:c r="B14" s="9" t="n">
        <x:f>B12+B13</x:f>
        <x:v>71.389097769063</x:v>
      </x:c>
      <x:c r="C14" s="7" t="str">
        <x:v>kWh</x:v>
      </x:c>
    </x:row>
    <x:row r="15" ht="23" customHeight="1">
      <x:c r="A15" s="2" t="str">
        <x:v>使用运输无人机</x:v>
      </x:c>
      <x:c r="B15" s="8" t="n">
        <x:v>8</x:v>
      </x:c>
      <x:c r="C15" s="2" t="str">
        <x:v>架</x:v>
      </x:c>
    </x:row>
    <x:row r="16" ht="23" customHeight="1">
      <x:c r="A16" s="7" t="str">
        <x:v>使用运输电池</x:v>
      </x:c>
      <x:c r="B16" s="9" t="n">
        <x:v>13</x:v>
      </x:c>
      <x:c r="C16" s="7" t="str">
        <x:v>组</x:v>
      </x:c>
    </x:row>
    <x:row r="17" ht="23" customHeight="1">
      <x:c r="A17" s="2" t="str">
        <x:v>使用中继无人机</x:v>
      </x:c>
      <x:c r="B17" s="8" t="n">
        <x:v>2</x:v>
      </x:c>
      <x:c r="C17" s="2" t="str">
        <x:v>架</x:v>
      </x:c>
    </x:row>
    <x:row r="18" ht="23" customHeight="1">
      <x:c r="A18" s="7" t="str">
        <x:v>使用中继能源组件</x:v>
      </x:c>
      <x:c r="B18" s="9" t="n">
        <x:v>3</x:v>
      </x:c>
      <x:c r="C18" s="7" t="str">
        <x:v>组</x:v>
      </x:c>
    </x:row>
    <x:row r="19" ht="23" customHeight="1">
      <x:c r="A19" s="2" t="str">
        <x:v>最低运输返航SOC</x:v>
      </x:c>
      <x:c r="B19" s="20" t="n">
        <x:f>MIN('运输架次'!H2:H23)</x:f>
        <x:v>0.209437576115</x:v>
      </x:c>
      <x:c r="C19" s="2" t="str">
        <x:v>%</x:v>
      </x:c>
    </x:row>
    <x:row r="20" ht="23" customHeight="1">
      <x:c r="A20" s="7" t="str">
        <x:v>最低中继返航SOC</x:v>
      </x:c>
      <x:c r="B20" s="21" t="n">
        <x:f>MIN('中继架次'!O2:O6)</x:f>
        <x:v>0.462743328537</x:v>
      </x:c>
      <x:c r="C20" s="7" t="str">
        <x:v>%</x:v>
      </x:c>
    </x:row>
    <x:row r="21" ht="23" customHeight="1">
      <x:c r="A21" s="2" t="str">
        <x:v>通信验证采样点</x:v>
      </x:c>
      <x:c r="B21" s="8" t="n">
        <x:v>15480</x:v>
      </x:c>
      <x:c r="C21" s="2" t="str">
        <x:v>点</x:v>
      </x:c>
    </x:row>
    <x:row r="22" ht="23" customHeight="1">
      <x:c r="A22" s="7" t="str">
        <x:v>通信中断</x:v>
      </x:c>
      <x:c r="B22" s="9" t="n">
        <x:v>0</x:v>
      </x:c>
      <x:c r="C22" s="7" t="str">
        <x:v>点</x:v>
      </x:c>
    </x:row>
    <x:row r="23" ht="23" customHeight="1">
      <x:c r="A23" s="2" t="str">
        <x:v>独立校验</x:v>
      </x:c>
      <x:c r="B23" s="8" t="str">
        <x:v>全部通过</x:v>
      </x:c>
      <x:c r="C23" s="2" t="str">
        <x:v>16项</x:v>
      </x:c>
    </x:row>
    <x:row r="26">
      <x:c r="A26" s="23" t="str">
        <x:v>方案解释</x:v>
      </x:c>
    </x:row>
    <x:row r="27" ht="42" customHeight="1">
      <x:c r="A27" s="25" t="str">
        <x:v>约束优先级</x:v>
      </x:c>
      <x:c r="B27" s="24" t="str">
        <x:v>先满足硬时限、连续通信与资源可行性，再比较及时性、联合完成时间、总能耗和两类架次数。</x:v>
      </x:c>
      <x:c r="C27" s="24" t="str"/>
    </x:row>
    <x:row r="28" ht="42" customHeight="1">
      <x:c r="A28" s="25" t="str">
        <x:v>通信结果</x:v>
      </x:c>
      <x:c r="B28" s="24" t="str">
        <x:v>17个运输架次需要中继，5个全程直连；2秒网格和30米DEM复核无中断。</x:v>
      </x:c>
      <x:c r="C28" s="24" t="str"/>
    </x:row>
    <x:row r="29" ht="42" customHeight="1">
      <x:c r="A29" s="25" t="str">
        <x:v>悬停方案</x:v>
      </x:c>
      <x:c r="B29" s="24" t="str">
        <x:v>使用H170、H161、H039三个状态，离地高度分别为300m、225m、300m。</x:v>
      </x:c>
      <x:c r="C29" s="24" t="str"/>
    </x:row>
    <x:row r="30" ht="42" customHeight="1">
      <x:c r="A30" s="25" t="str">
        <x:v>权衡结论</x:v>
      </x:c>
      <x:c r="B30" s="24" t="str">
        <x:v>600秒以内相邻保障窗口继续悬停，可将中继架次由8次降至5次，并减少换班造成的运输等待。</x:v>
      </x:c>
      <x:c r="C30" s="24" t="str"/>
    </x:row>
    <x:row r="31" ht="42" customHeight="1">
      <x:c r="A31" s="25" t="str">
        <x:v>最优性说明</x:v>
      </x:c>
      <x:c r="B31" s="24" t="str">
        <x:v>路线与悬停组合使用固定种子启发式搜索，结果为已搜索候选集中的可行折中方案。</x:v>
      </x:c>
      <x:c r="C31" s="2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BB5A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16" hidden="0" customWidth="1"/>
    <x:col min="5" max="5" width="14" hidden="0" customWidth="1"/>
    <x:col min="6" max="6" width="16" hidden="0" customWidth="1"/>
    <x:col min="7" max="7" width="16" hidden="0" customWidth="1"/>
    <x:col min="8" max="8" width="14" hidden="0" customWidth="1"/>
    <x:col min="9" max="9" width="13" hidden="0" customWidth="1"/>
    <x:col min="10" max="10" width="13" hidden="0" customWidth="1"/>
    <x:col min="11" max="11" width="12" hidden="0" customWidth="1"/>
    <x:col min="12" max="12" width="18" hidden="0" customWidth="1"/>
    <x:col min="13" max="13" width="14" hidden="0" customWidth="1"/>
    <x:col min="14" max="14" width="19" hidden="0" customWidth="1"/>
    <x:col min="15" max="15" width="48" hidden="0" customWidth="1"/>
    <x:col min="16" max="16" width="16" hidden="0" customWidth="1"/>
  </x:cols>
  <x:sheetData>
    <x:row r="1" ht="40" customHeight="1">
      <x:c r="A1" s="6" t="str">
        <x:v>route_index</x:v>
      </x:c>
      <x:c r="B1" s="6" t="str">
        <x:v>type_id</x:v>
      </x:c>
      <x:c r="C1" s="6" t="str">
        <x:v>aircraft_id</x:v>
      </x:c>
      <x:c r="D1" s="6" t="str">
        <x:v>battery_id</x:v>
      </x:c>
      <x:c r="E1" s="6" t="str">
        <x:v>start_s</x:v>
      </x:c>
      <x:c r="F1" s="6" t="str">
        <x:v>return_s</x:v>
      </x:c>
      <x:c r="G1" s="6" t="str">
        <x:v>energy_kwh</x:v>
      </x:c>
      <x:c r="H1" s="6" t="str">
        <x:v>return_soc</x:v>
      </x:c>
      <x:c r="I1" s="6" t="str">
        <x:v>mass_kg</x:v>
      </x:c>
      <x:c r="J1" s="6" t="str">
        <x:v>volume_m3</x:v>
      </x:c>
      <x:c r="K1" s="6" t="str">
        <x:v>box_count</x:v>
      </x:c>
      <x:c r="L1" s="6" t="str">
        <x:v>visit_order</x:v>
      </x:c>
      <x:c r="M1" s="6" t="str">
        <x:v>duration_s</x:v>
      </x:c>
      <x:c r="N1" s="6" t="str">
        <x:v>battery_recharged_s</x:v>
      </x:c>
      <x:c r="O1" s="6" t="str">
        <x:v>boxes</x:v>
      </x:c>
      <x:c r="P1" s="6" t="str">
        <x:v>flight_id</x:v>
      </x:c>
    </x:row>
    <x:row r="2" ht="23" customHeight="1">
      <x:c r="A2" s="2" t="n">
        <x:v>10</x:v>
      </x:c>
      <x:c r="B2" s="2" t="str">
        <x:v>A</x:v>
      </x:c>
      <x:c r="C2" s="2" t="str">
        <x:v>U01</x:v>
      </x:c>
      <x:c r="D2" s="2" t="str">
        <x:v>BAT-A-01</x:v>
      </x:c>
      <x:c r="E2" s="8" t="n">
        <x:v>0</x:v>
      </x:c>
      <x:c r="F2" s="8" t="n">
        <x:v>1727.46688583</x:v>
      </x:c>
      <x:c r="G2" s="8" t="n">
        <x:v>1.90538330026</x:v>
      </x:c>
      <x:c r="H2" s="8" t="n">
        <x:v>0.576581488831</x:v>
      </x:c>
      <x:c r="I2" s="8" t="n">
        <x:v>17</x:v>
      </x:c>
      <x:c r="J2" s="8" t="n">
        <x:v>0.039</x:v>
      </x:c>
      <x:c r="K2" s="8" t="n">
        <x:v>2</x:v>
      </x:c>
      <x:c r="L2" s="8" t="str">
        <x:v>S007</x:v>
      </x:c>
      <x:c r="M2" s="8" t="n">
        <x:v>1727.46688583</x:v>
      </x:c>
      <x:c r="N2" s="8" t="n">
        <x:v>2777.91095035</x:v>
      </x:c>
      <x:c r="O2" s="10" t="str">
        <x:v>S007-MED-01;S007-WAT-01</x:v>
      </x:c>
      <x:c r="P2" s="2" t="str">
        <x:v>Q3-T-001</x:v>
      </x:c>
    </x:row>
    <x:row r="3" ht="23" customHeight="1">
      <x:c r="A3" s="7" t="n">
        <x:v>16</x:v>
      </x:c>
      <x:c r="B3" s="7" t="str">
        <x:v>A</x:v>
      </x:c>
      <x:c r="C3" s="7" t="str">
        <x:v>U02</x:v>
      </x:c>
      <x:c r="D3" s="7" t="str">
        <x:v>BAT-A-02</x:v>
      </x:c>
      <x:c r="E3" s="9" t="n">
        <x:v>5.4094540827</x:v>
      </x:c>
      <x:c r="F3" s="9" t="n">
        <x:v>1995.80833937</x:v>
      </x:c>
      <x:c r="G3" s="9" t="n">
        <x:v>2.2908783476</x:v>
      </x:c>
      <x:c r="H3" s="9" t="n">
        <x:v>0.490915922755</x:v>
      </x:c>
      <x:c r="I3" s="9" t="n">
        <x:v>17</x:v>
      </x:c>
      <x:c r="J3" s="9" t="n">
        <x:v>0.039</x:v>
      </x:c>
      <x:c r="K3" s="9" t="n">
        <x:v>2</x:v>
      </x:c>
      <x:c r="L3" s="9" t="str">
        <x:v>S014</x:v>
      </x:c>
      <x:c r="M3" s="9" t="n">
        <x:v>1990.39888529</x:v>
      </x:c>
      <x:c r="N3" s="9" t="n">
        <x:v>3157.61763979</x:v>
      </x:c>
      <x:c r="O3" s="11" t="str">
        <x:v>S014-MED-01;S014-WAT-01</x:v>
      </x:c>
      <x:c r="P3" s="7" t="str">
        <x:v>Q3-T-002</x:v>
      </x:c>
    </x:row>
    <x:row r="4" ht="23" customHeight="1">
      <x:c r="A4" s="2" t="n">
        <x:v>3</x:v>
      </x:c>
      <x:c r="B4" s="2" t="str">
        <x:v>A</x:v>
      </x:c>
      <x:c r="C4" s="2" t="str">
        <x:v>U03</x:v>
      </x:c>
      <x:c r="D4" s="2" t="str">
        <x:v>BAT-A-03</x:v>
      </x:c>
      <x:c r="E4" s="8" t="n">
        <x:v>5.4094540827</x:v>
      </x:c>
      <x:c r="F4" s="8" t="n">
        <x:v>2009.18466254</x:v>
      </x:c>
      <x:c r="G4" s="8" t="n">
        <x:v>2.92001768469</x:v>
      </x:c>
      <x:c r="H4" s="8" t="n">
        <x:v>0.351107181181</x:v>
      </x:c>
      <x:c r="I4" s="8" t="n">
        <x:v>17</x:v>
      </x:c>
      <x:c r="J4" s="8" t="n">
        <x:v>0.039</x:v>
      </x:c>
      <x:c r="K4" s="8" t="n">
        <x:v>2</x:v>
      </x:c>
      <x:c r="L4" s="8" t="str">
        <x:v>S002</x:v>
      </x:c>
      <x:c r="M4" s="8" t="n">
        <x:v>2003.77520846</x:v>
      </x:c>
      <x:c r="N4" s="8" t="n">
        <x:v>3352.745327</x:v>
      </x:c>
      <x:c r="O4" s="10" t="str">
        <x:v>S002-MED-01;S002-WAT-01</x:v>
      </x:c>
      <x:c r="P4" s="2" t="str">
        <x:v>Q3-T-003</x:v>
      </x:c>
    </x:row>
    <x:row r="5" ht="23" customHeight="1">
      <x:c r="A5" s="7" t="n">
        <x:v>14</x:v>
      </x:c>
      <x:c r="B5" s="7" t="str">
        <x:v>A</x:v>
      </x:c>
      <x:c r="C5" s="7" t="str">
        <x:v>U04</x:v>
      </x:c>
      <x:c r="D5" s="7" t="str">
        <x:v>BAT-A-04</x:v>
      </x:c>
      <x:c r="E5" s="9" t="n">
        <x:v>5.4094540827</x:v>
      </x:c>
      <x:c r="F5" s="9" t="n">
        <x:v>1600.30212399</x:v>
      </x:c>
      <x:c r="G5" s="9" t="n">
        <x:v>1.8679649735</x:v>
      </x:c>
      <x:c r="H5" s="9" t="n">
        <x:v>0.584896672556</x:v>
      </x:c>
      <x:c r="I5" s="9" t="n">
        <x:v>8</x:v>
      </x:c>
      <x:c r="J5" s="9" t="n">
        <x:v>0.028</x:v>
      </x:c>
      <x:c r="K5" s="9" t="n">
        <x:v>1</x:v>
      </x:c>
      <x:c r="L5" s="9" t="str">
        <x:v>S010</x:v>
      </x:c>
      <x:c r="M5" s="9" t="n">
        <x:v>1594.89266991</x:v>
      </x:c>
      <x:c r="N5" s="9" t="n">
        <x:v>2639.93644967</x:v>
      </x:c>
      <x:c r="O5" s="11" t="str">
        <x:v>S010-FOD-01</x:v>
      </x:c>
      <x:c r="P5" s="7" t="str">
        <x:v>Q3-T-004</x:v>
      </x:c>
    </x:row>
    <x:row r="6" ht="23" customHeight="1">
      <x:c r="A6" s="2" t="n">
        <x:v>0</x:v>
      </x:c>
      <x:c r="B6" s="2" t="str">
        <x:v>B</x:v>
      </x:c>
      <x:c r="C6" s="2" t="str">
        <x:v>U05</x:v>
      </x:c>
      <x:c r="D6" s="2" t="str">
        <x:v>BAT-B-01</x:v>
      </x:c>
      <x:c r="E6" s="8" t="n">
        <x:v>0</x:v>
      </x:c>
      <x:c r="F6" s="8" t="n">
        <x:v>1209.10617589</x:v>
      </x:c>
      <x:c r="G6" s="8" t="n">
        <x:v>1.07397225779</x:v>
      </x:c>
      <x:c r="H6" s="8" t="n">
        <x:v>0.731506935552</x:v>
      </x:c>
      <x:c r="I6" s="8" t="n">
        <x:v>20</x:v>
      </x:c>
      <x:c r="J6" s="8" t="n">
        <x:v>0.051</x:v>
      </x:c>
      <x:c r="K6" s="8" t="n">
        <x:v>3</x:v>
      </x:c>
      <x:c r="L6" s="8" t="str">
        <x:v>S001</x:v>
      </x:c>
      <x:c r="M6" s="8" t="n">
        <x:v>1209.10617589</x:v>
      </x:c>
      <x:c r="N6" s="8" t="n">
        <x:v>2341.16082093</x:v>
      </x:c>
      <x:c r="O6" s="10" t="str">
        <x:v>S001-MED-01;S001-MED-02;S001-WAT-01</x:v>
      </x:c>
      <x:c r="P6" s="2" t="str">
        <x:v>Q3-T-005</x:v>
      </x:c>
    </x:row>
    <x:row r="7" ht="23" customHeight="1">
      <x:c r="A7" s="7" t="n">
        <x:v>9</x:v>
      </x:c>
      <x:c r="B7" s="7" t="str">
        <x:v>B</x:v>
      </x:c>
      <x:c r="C7" s="7" t="str">
        <x:v>U06</x:v>
      </x:c>
      <x:c r="D7" s="7" t="str">
        <x:v>BAT-B-02</x:v>
      </x:c>
      <x:c r="E7" s="9" t="n">
        <x:v>0</x:v>
      </x:c>
      <x:c r="F7" s="9" t="n">
        <x:v>1207.27001136</x:v>
      </x:c>
      <x:c r="G7" s="9" t="n">
        <x:v>1.09874729527</x:v>
      </x:c>
      <x:c r="H7" s="9" t="n">
        <x:v>0.725313176183</x:v>
      </x:c>
      <x:c r="I7" s="9" t="n">
        <x:v>17</x:v>
      </x:c>
      <x:c r="J7" s="9" t="n">
        <x:v>0.039</x:v>
      </x:c>
      <x:c r="K7" s="9" t="n">
        <x:v>2</x:v>
      </x:c>
      <x:c r="L7" s="9" t="str">
        <x:v>S006</x:v>
      </x:c>
      <x:c r="M7" s="9" t="n">
        <x:v>1207.27001136</x:v>
      </x:c>
      <x:c r="N7" s="9" t="n">
        <x:v>2350.06050597</x:v>
      </x:c>
      <x:c r="O7" s="11" t="str">
        <x:v>S006-MED-01;S006-WAT-01</x:v>
      </x:c>
      <x:c r="P7" s="7" t="str">
        <x:v>Q3-T-006</x:v>
      </x:c>
    </x:row>
    <x:row r="8" ht="23" customHeight="1">
      <x:c r="A8" s="2" t="n">
        <x:v>4</x:v>
      </x:c>
      <x:c r="B8" s="2" t="str">
        <x:v>C</x:v>
      </x:c>
      <x:c r="C8" s="2" t="str">
        <x:v>U07</x:v>
      </x:c>
      <x:c r="D8" s="2" t="str">
        <x:v>BAT-C-01</x:v>
      </x:c>
      <x:c r="E8" s="8" t="n">
        <x:v>5.4094540827</x:v>
      </x:c>
      <x:c r="F8" s="8" t="n">
        <x:v>2113.25162013</x:v>
      </x:c>
      <x:c r="G8" s="8" t="n">
        <x:v>6.10579695278</x:v>
      </x:c>
      <x:c r="H8" s="8" t="n">
        <x:v>0.236775380902</x:v>
      </x:c>
      <x:c r="I8" s="8" t="n">
        <x:v>64</x:v>
      </x:c>
      <x:c r="J8" s="8" t="n">
        <x:v>0.172</x:v>
      </x:c>
      <x:c r="K8" s="8" t="n">
        <x:v>6</x:v>
      </x:c>
      <x:c r="L8" s="8" t="str">
        <x:v>S002</x:v>
      </x:c>
      <x:c r="M8" s="8" t="n">
        <x:v>2107.84216605</x:v>
      </x:c>
      <x:c r="N8" s="8" t="n">
        <x:v>4600.23829484</x:v>
      </x:c>
      <x:c r="O8" s="10" t="str">
        <x:v>S002-FOD-01;S002-FOD-02;S002-HYG-01;S002-WAT-02;S002-WAT-03;S002-WAT-04</x:v>
      </x:c>
      <x:c r="P8" s="2" t="str">
        <x:v>Q3-T-007</x:v>
      </x:c>
    </x:row>
    <x:row r="9" ht="23" customHeight="1">
      <x:c r="A9" s="7" t="n">
        <x:v>13</x:v>
      </x:c>
      <x:c r="B9" s="7" t="str">
        <x:v>C</x:v>
      </x:c>
      <x:c r="C9" s="7" t="str">
        <x:v>U08</x:v>
      </x:c>
      <x:c r="D9" s="7" t="str">
        <x:v>BAT-C-02</x:v>
      </x:c>
      <x:c r="E9" s="9" t="n">
        <x:v>5.4094540827</x:v>
      </x:c>
      <x:c r="F9" s="9" t="n">
        <x:v>1608.141819</x:v>
      </x:c>
      <x:c r="G9" s="9" t="n">
        <x:v>3.14986064617</x:v>
      </x:c>
      <x:c r="H9" s="9" t="n">
        <x:v>0.606267419229</x:v>
      </x:c>
      <x:c r="I9" s="9" t="n">
        <x:v>17</x:v>
      </x:c>
      <x:c r="J9" s="9" t="n">
        <x:v>0.039</x:v>
      </x:c>
      <x:c r="K9" s="9" t="n">
        <x:v>2</x:v>
      </x:c>
      <x:c r="L9" s="9" t="str">
        <x:v>S010</x:v>
      </x:c>
      <x:c r="M9" s="9" t="n">
        <x:v>1602.73236492</x:v>
      </x:c>
      <x:c r="N9" s="9" t="n">
        <x:v>3294.56241067</x:v>
      </x:c>
      <x:c r="O9" s="11" t="str">
        <x:v>S010-MED-01;S010-WAT-01</x:v>
      </x:c>
      <x:c r="P9" s="7" t="str">
        <x:v>Q3-T-008</x:v>
      </x:c>
    </x:row>
    <x:row r="10" ht="23" customHeight="1">
      <x:c r="A10" s="2" t="n">
        <x:v>21</x:v>
      </x:c>
      <x:c r="B10" s="2" t="str">
        <x:v>B</x:v>
      </x:c>
      <x:c r="C10" s="2" t="str">
        <x:v>U06</x:v>
      </x:c>
      <x:c r="D10" s="2" t="str">
        <x:v>BAT-B-03</x:v>
      </x:c>
      <x:c r="E10" s="8" t="n">
        <x:v>1212.67946544</x:v>
      </x:c>
      <x:c r="F10" s="8" t="n">
        <x:v>2723.19105422</x:v>
      </x:c>
      <x:c r="G10" s="8" t="n">
        <x:v>1.82482819123</x:v>
      </x:c>
      <x:c r="H10" s="8" t="n">
        <x:v>0.543792952192</x:v>
      </x:c>
      <x:c r="I10" s="8" t="n">
        <x:v>25</x:v>
      </x:c>
      <x:c r="J10" s="8" t="n">
        <x:v>0.067</x:v>
      </x:c>
      <x:c r="K10" s="8" t="n">
        <x:v>3</x:v>
      </x:c>
      <x:c r="L10" s="8" t="str">
        <x:v>S013</x:v>
      </x:c>
      <x:c r="M10" s="8" t="n">
        <x:v>1510.51158878</x:v>
      </x:c>
      <x:c r="N10" s="8" t="n">
        <x:v>4180.61660375</x:v>
      </x:c>
      <x:c r="O10" s="10" t="str">
        <x:v>S013-FOD-01;S013-MED-01;S013-WAT-01</x:v>
      </x:c>
      <x:c r="P10" s="2" t="str">
        <x:v>Q3-T-009</x:v>
      </x:c>
    </x:row>
    <x:row r="11" ht="23" customHeight="1">
      <x:c r="A11" s="7" t="n">
        <x:v>20</x:v>
      </x:c>
      <x:c r="B11" s="7" t="str">
        <x:v>B</x:v>
      </x:c>
      <x:c r="C11" s="7" t="str">
        <x:v>U05</x:v>
      </x:c>
      <x:c r="D11" s="7" t="str">
        <x:v>BAT-B-04</x:v>
      </x:c>
      <x:c r="E11" s="9" t="n">
        <x:v>1214.51562997</x:v>
      </x:c>
      <x:c r="F11" s="9" t="n">
        <x:v>3137.34244422</x:v>
      </x:c>
      <x:c r="G11" s="9" t="n">
        <x:v>2.75259995448</x:v>
      </x:c>
      <x:c r="H11" s="9" t="n">
        <x:v>0.311850011381</x:v>
      </x:c>
      <x:c r="I11" s="9" t="n">
        <x:v>25</x:v>
      </x:c>
      <x:c r="J11" s="9" t="n">
        <x:v>0.067</x:v>
      </x:c>
      <x:c r="K11" s="9" t="n">
        <x:v>3</x:v>
      </x:c>
      <x:c r="L11" s="9" t="str">
        <x:v>S012</x:v>
      </x:c>
      <x:c r="M11" s="9" t="n">
        <x:v>1922.82681425</x:v>
      </x:c>
      <x:c r="N11" s="9" t="n">
        <x:v>4996.80242449</x:v>
      </x:c>
      <x:c r="O11" s="11" t="str">
        <x:v>S012-FOD-01;S012-MED-01;S012-WAT-01</x:v>
      </x:c>
      <x:c r="P11" s="7" t="str">
        <x:v>Q3-T-010</x:v>
      </x:c>
    </x:row>
    <x:row r="12" ht="23" customHeight="1">
      <x:c r="A12" s="2" t="n">
        <x:v>17</x:v>
      </x:c>
      <x:c r="B12" s="2" t="str">
        <x:v>A</x:v>
      </x:c>
      <x:c r="C12" s="2" t="str">
        <x:v>U04</x:v>
      </x:c>
      <x:c r="D12" s="2" t="str">
        <x:v>BAT-A-05</x:v>
      </x:c>
      <x:c r="E12" s="8" t="n">
        <x:v>1600.30212399</x:v>
      </x:c>
      <x:c r="F12" s="8" t="n">
        <x:v>3530.70100928</x:v>
      </x:c>
      <x:c r="G12" s="8" t="n">
        <x:v>2.18849262159</x:v>
      </x:c>
      <x:c r="H12" s="8" t="n">
        <x:v>0.513668306313</x:v>
      </x:c>
      <x:c r="I12" s="8" t="n">
        <x:v>8</x:v>
      </x:c>
      <x:c r="J12" s="8" t="n">
        <x:v>0.028</x:v>
      </x:c>
      <x:c r="K12" s="8" t="n">
        <x:v>1</x:v>
      </x:c>
      <x:c r="L12" s="8" t="str">
        <x:v>S014</x:v>
      </x:c>
      <x:c r="M12" s="8" t="n">
        <x:v>1930.39888529</x:v>
      </x:c>
      <x:c r="N12" s="8" t="n">
        <x:v>4662.93221108</x:v>
      </x:c>
      <x:c r="O12" s="10" t="str">
        <x:v>S014-FOD-01</x:v>
      </x:c>
      <x:c r="P12" s="2" t="str">
        <x:v>Q3-T-011</x:v>
      </x:c>
    </x:row>
    <x:row r="13" ht="23" customHeight="1">
      <x:c r="A13" s="7" t="n">
        <x:v>5</x:v>
      </x:c>
      <x:c r="B13" s="7" t="str">
        <x:v>C</x:v>
      </x:c>
      <x:c r="C13" s="7" t="str">
        <x:v>U08</x:v>
      </x:c>
      <x:c r="D13" s="7" t="str">
        <x:v>BAT-C-03</x:v>
      </x:c>
      <x:c r="E13" s="9" t="n">
        <x:v>1808.68662533</x:v>
      </x:c>
      <x:c r="F13" s="9" t="n">
        <x:v>4244.86433649</x:v>
      </x:c>
      <x:c r="G13" s="9" t="n">
        <x:v>6.32449939108</x:v>
      </x:c>
      <x:c r="H13" s="9" t="n">
        <x:v>0.209437576115</x:v>
      </x:c>
      <x:c r="I13" s="9" t="n">
        <x:v>67</x:v>
      </x:c>
      <x:c r="J13" s="9" t="n">
        <x:v>0.148</x:v>
      </x:c>
      <x:c r="K13" s="9" t="n">
        <x:v>6</x:v>
      </x:c>
      <x:c r="L13" s="9" t="str">
        <x:v>S003</x:v>
      </x:c>
      <x:c r="M13" s="9" t="n">
        <x:v>2436.17771116</x:v>
      </x:c>
      <x:c r="N13" s="9" t="n">
        <x:v>6791.08292157</x:v>
      </x:c>
      <x:c r="O13" s="11" t="str">
        <x:v>S003-FOD-01;S003-MED-01;S003-WAT-01;S003-WAT-02;S003-WAT-03;S003-WAT-04</x:v>
      </x:c>
      <x:c r="P13" s="7" t="str">
        <x:v>Q3-T-012</x:v>
      </x:c>
    </x:row>
    <x:row r="14" ht="23" customHeight="1">
      <x:c r="A14" s="2" t="n">
        <x:v>7</x:v>
      </x:c>
      <x:c r="B14" s="2" t="str">
        <x:v>C</x:v>
      </x:c>
      <x:c r="C14" s="2" t="str">
        <x:v>U07</x:v>
      </x:c>
      <x:c r="D14" s="2" t="str">
        <x:v>BAT-C-04</x:v>
      </x:c>
      <x:c r="E14" s="8" t="n">
        <x:v>3690.05892162</x:v>
      </x:c>
      <x:c r="F14" s="8" t="n">
        <x:v>5991.11364043</x:v>
      </x:c>
      <x:c r="G14" s="8" t="n">
        <x:v>6.15286012898</x:v>
      </x:c>
      <x:c r="H14" s="8" t="n">
        <x:v>0.230892483877</x:v>
      </x:c>
      <x:c r="I14" s="8" t="n">
        <x:v>59</x:v>
      </x:c>
      <x:c r="J14" s="8" t="n">
        <x:v>0.156</x:v>
      </x:c>
      <x:c r="K14" s="8" t="n">
        <x:v>6</x:v>
      </x:c>
      <x:c r="L14" s="8" t="str">
        <x:v>S004</x:v>
      </x:c>
      <x:c r="M14" s="8" t="n">
        <x:v>2301.05471881</x:v>
      </x:c>
      <x:c r="N14" s="8" t="n">
        <x:v>8490.84659202</x:v>
      </x:c>
      <x:c r="O14" s="10" t="str">
        <x:v>S004-FOD-01;S004-HYG-01;S004-MED-01;S004-WAT-01;S004-WAT-02;S004-WAT-03</x:v>
      </x:c>
      <x:c r="P14" s="2" t="str">
        <x:v>Q3-T-013</x:v>
      </x:c>
    </x:row>
    <x:row r="15" ht="23" customHeight="1">
      <x:c r="A15" s="7" t="n">
        <x:v>18</x:v>
      </x:c>
      <x:c r="B15" s="7" t="str">
        <x:v>B</x:v>
      </x:c>
      <x:c r="C15" s="7" t="str">
        <x:v>U06</x:v>
      </x:c>
      <x:c r="D15" s="7" t="str">
        <x:v>BAT-B-01</x:v>
      </x:c>
      <x:c r="E15" s="9" t="n">
        <x:v>2923.73586055</x:v>
      </x:c>
      <x:c r="F15" s="9" t="n">
        <x:v>4752.06342071</x:v>
      </x:c>
      <x:c r="G15" s="9" t="n">
        <x:v>2.30752850568</x:v>
      </x:c>
      <x:c r="H15" s="9" t="n">
        <x:v>0.423117873579</x:v>
      </x:c>
      <x:c r="I15" s="9" t="n">
        <x:v>25</x:v>
      </x:c>
      <x:c r="J15" s="9" t="n">
        <x:v>0.067</x:v>
      </x:c>
      <x:c r="K15" s="9" t="n">
        <x:v>3</x:v>
      </x:c>
      <x:c r="L15" s="9" t="str">
        <x:v>S015</x:v>
      </x:c>
      <x:c r="M15" s="9" t="n">
        <x:v>1828.32756016</x:v>
      </x:c>
      <x:c r="N15" s="9" t="n">
        <x:v>6418.65910651</x:v>
      </x:c>
      <x:c r="O15" s="11" t="str">
        <x:v>S015-FOD-01;S015-MED-01;S015-WAT-01</x:v>
      </x:c>
      <x:c r="P15" s="7" t="str">
        <x:v>Q3-T-014</x:v>
      </x:c>
    </x:row>
    <x:row r="16" ht="23" customHeight="1">
      <x:c r="A16" s="2" t="n">
        <x:v>12</x:v>
      </x:c>
      <x:c r="B16" s="2" t="str">
        <x:v>B</x:v>
      </x:c>
      <x:c r="C16" s="2" t="str">
        <x:v>U05</x:v>
      </x:c>
      <x:c r="D16" s="2" t="str">
        <x:v>BAT-B-02</x:v>
      </x:c>
      <x:c r="E16" s="8" t="n">
        <x:v>3337.88725055</x:v>
      </x:c>
      <x:c r="F16" s="8" t="n">
        <x:v>4896.35011497</x:v>
      </x:c>
      <x:c r="G16" s="8" t="n">
        <x:v>2.09626540189</x:v>
      </x:c>
      <x:c r="H16" s="8" t="n">
        <x:v>0.475933649528</x:v>
      </x:c>
      <x:c r="I16" s="8" t="n">
        <x:v>25</x:v>
      </x:c>
      <x:c r="J16" s="8" t="n">
        <x:v>0.067</x:v>
      </x:c>
      <x:c r="K16" s="8" t="n">
        <x:v>3</x:v>
      </x:c>
      <x:c r="L16" s="8" t="str">
        <x:v>S009</x:v>
      </x:c>
      <x:c r="M16" s="8" t="n">
        <x:v>1558.46286442</x:v>
      </x:c>
      <x:c r="N16" s="8" t="n">
        <x:v>6471.39845579</x:v>
      </x:c>
      <x:c r="O16" s="10" t="str">
        <x:v>S009-FOD-01;S009-MED-01;S009-WAT-01</x:v>
      </x:c>
      <x:c r="P16" s="2" t="str">
        <x:v>Q3-T-015</x:v>
      </x:c>
    </x:row>
    <x:row r="17" ht="23" customHeight="1">
      <x:c r="A17" s="7" t="n">
        <x:v>11</x:v>
      </x:c>
      <x:c r="B17" s="7" t="str">
        <x:v>C</x:v>
      </x:c>
      <x:c r="C17" s="7" t="str">
        <x:v>U08</x:v>
      </x:c>
      <x:c r="D17" s="7" t="str">
        <x:v>BAT-C-02</x:v>
      </x:c>
      <x:c r="E17" s="9" t="n">
        <x:v>4244.86433649</x:v>
      </x:c>
      <x:c r="F17" s="9" t="n">
        <x:v>6444.57586116</x:v>
      </x:c>
      <x:c r="G17" s="9" t="n">
        <x:v>5.83602066813</x:v>
      </x:c>
      <x:c r="H17" s="9" t="n">
        <x:v>0.270497416483</x:v>
      </x:c>
      <x:c r="I17" s="9" t="n">
        <x:v>45</x:v>
      </x:c>
      <x:c r="J17" s="9" t="n">
        <x:v>0.129</x:v>
      </x:c>
      <x:c r="K17" s="9" t="n">
        <x:v>5</x:v>
      </x:c>
      <x:c r="L17" s="9" t="str">
        <x:v>S008</x:v>
      </x:c>
      <x:c r="M17" s="9" t="n">
        <x:v>2199.71152467</x:v>
      </x:c>
      <x:c r="N17" s="9" t="n">
        <x:v>8858.49812545</x:v>
      </x:c>
      <x:c r="O17" s="11" t="str">
        <x:v>S008-FOD-01;S008-HYG-01;S008-MED-01;S008-WAT-01;S008-WAT-02</x:v>
      </x:c>
      <x:c r="P17" s="7" t="str">
        <x:v>Q3-T-016</x:v>
      </x:c>
    </x:row>
    <x:row r="18" ht="23" customHeight="1">
      <x:c r="A18" s="2" t="n">
        <x:v>15</x:v>
      </x:c>
      <x:c r="B18" s="2" t="str">
        <x:v>B</x:v>
      </x:c>
      <x:c r="C18" s="2" t="str">
        <x:v>U06</x:v>
      </x:c>
      <x:c r="D18" s="2" t="str">
        <x:v>BAT-B-03</x:v>
      </x:c>
      <x:c r="E18" s="8" t="n">
        <x:v>4752.06342071</x:v>
      </x:c>
      <x:c r="F18" s="8" t="n">
        <x:v>5940.48818355</x:v>
      </x:c>
      <x:c r="G18" s="8" t="n">
        <x:v>1.07393668627</x:v>
      </x:c>
      <x:c r="H18" s="8" t="n">
        <x:v>0.731515828432</x:v>
      </x:c>
      <x:c r="I18" s="8" t="n">
        <x:v>25</x:v>
      </x:c>
      <x:c r="J18" s="8" t="n">
        <x:v>0.067</x:v>
      </x:c>
      <x:c r="K18" s="8" t="n">
        <x:v>3</x:v>
      </x:c>
      <x:c r="L18" s="8" t="str">
        <x:v>S011</x:v>
      </x:c>
      <x:c r="M18" s="8" t="n">
        <x:v>1188.42476283</x:v>
      </x:c>
      <x:c r="N18" s="8" t="n">
        <x:v>7072.52741426</x:v>
      </x:c>
      <x:c r="O18" s="10" t="str">
        <x:v>S011-FOD-01;S011-MED-01;S011-WAT-01</x:v>
      </x:c>
      <x:c r="P18" s="2" t="str">
        <x:v>Q3-T-017</x:v>
      </x:c>
    </x:row>
    <x:row r="19" ht="23" customHeight="1">
      <x:c r="A19" s="7" t="n">
        <x:v>8</x:v>
      </x:c>
      <x:c r="B19" s="7" t="str">
        <x:v>C</x:v>
      </x:c>
      <x:c r="C19" s="7" t="str">
        <x:v>U07</x:v>
      </x:c>
      <x:c r="D19" s="7" t="str">
        <x:v>BAT-C-01</x:v>
      </x:c>
      <x:c r="E19" s="9" t="n">
        <x:v>5991.11364043</x:v>
      </x:c>
      <x:c r="F19" s="9" t="n">
        <x:v>7868.30235596</x:v>
      </x:c>
      <x:c r="G19" s="9" t="n">
        <x:v>4.22213737338</x:v>
      </x:c>
      <x:c r="H19" s="9" t="n">
        <x:v>0.472232828328</x:v>
      </x:c>
      <x:c r="I19" s="9" t="n">
        <x:v>59</x:v>
      </x:c>
      <x:c r="J19" s="9" t="n">
        <x:v>0.156</x:v>
      </x:c>
      <x:c r="K19" s="9" t="n">
        <x:v>6</x:v>
      </x:c>
      <x:c r="L19" s="9" t="str">
        <x:v>S005</x:v>
      </x:c>
      <x:c r="M19" s="9" t="n">
        <x:v>1877.18871553</x:v>
      </x:c>
      <x:c r="N19" s="9" t="n">
        <x:v>9845.13122791</x:v>
      </x:c>
      <x:c r="O19" s="11" t="str">
        <x:v>S005-FOD-01;S005-HYG-01;S005-MED-01;S005-WAT-01;S005-WAT-02;S005-WAT-03</x:v>
      </x:c>
      <x:c r="P19" s="7" t="str">
        <x:v>Q3-T-018</x:v>
      </x:c>
    </x:row>
    <x:row r="20" ht="23" customHeight="1">
      <x:c r="A20" s="2" t="n">
        <x:v>6</x:v>
      </x:c>
      <x:c r="B20" s="2" t="str">
        <x:v>B</x:v>
      </x:c>
      <x:c r="C20" s="2" t="str">
        <x:v>U05</x:v>
      </x:c>
      <x:c r="D20" s="2" t="str">
        <x:v>BAT-B-04</x:v>
      </x:c>
      <x:c r="E20" s="8" t="n">
        <x:v>5197.34723082</x:v>
      </x:c>
      <x:c r="F20" s="8" t="n">
        <x:v>7217.95689592</x:v>
      </x:c>
      <x:c r="G20" s="8" t="n">
        <x:v>2.42425540252</x:v>
      </x:c>
      <x:c r="H20" s="8" t="n">
        <x:v>0.393936149369</x:v>
      </x:c>
      <x:c r="I20" s="8" t="n">
        <x:v>14</x:v>
      </x:c>
      <x:c r="J20" s="8" t="n">
        <x:v>0.063</x:v>
      </x:c>
      <x:c r="K20" s="8" t="n">
        <x:v>2</x:v>
      </x:c>
      <x:c r="L20" s="8" t="str">
        <x:v>S003</x:v>
      </x:c>
      <x:c r="M20" s="8" t="n">
        <x:v>2020.60966509</x:v>
      </x:c>
      <x:c r="N20" s="8" t="n">
        <x:v>8935.13423701</x:v>
      </x:c>
      <x:c r="O20" s="10" t="str">
        <x:v>S003-FOD-02;S003-HYG-01</x:v>
      </x:c>
      <x:c r="P20" s="2" t="str">
        <x:v>Q3-T-019</x:v>
      </x:c>
    </x:row>
    <x:row r="21" ht="23" customHeight="1">
      <x:c r="A21" s="7" t="n">
        <x:v>1</x:v>
      </x:c>
      <x:c r="B21" s="7" t="str">
        <x:v>C</x:v>
      </x:c>
      <x:c r="C21" s="7" t="str">
        <x:v>U07</x:v>
      </x:c>
      <x:c r="D21" s="7" t="str">
        <x:v>BAT-C-03</x:v>
      </x:c>
      <x:c r="E21" s="9" t="n">
        <x:v>7868.30235596</x:v>
      </x:c>
      <x:c r="F21" s="9" t="n">
        <x:v>9362.47740188</x:v>
      </x:c>
      <x:c r="G21" s="9" t="n">
        <x:v>2.99577580536</x:v>
      </x:c>
      <x:c r="H21" s="9" t="n">
        <x:v>0.62552802433</x:v>
      </x:c>
      <x:c r="I21" s="9" t="n">
        <x:v>78</x:v>
      </x:c>
      <x:c r="J21" s="9" t="n">
        <x:v>0.163</x:v>
      </x:c>
      <x:c r="K21" s="9" t="n">
        <x:v>6</x:v>
      </x:c>
      <x:c r="L21" s="9" t="str">
        <x:v>S001</x:v>
      </x:c>
      <x:c r="M21" s="9" t="n">
        <x:v>1494.17504592</x:v>
      </x:c>
      <x:c r="N21" s="9" t="n">
        <x:v>11007.1666825</x:v>
      </x:c>
      <x:c r="O21" s="11" t="str">
        <x:v>S001-FOD-01;S001-WAT-02;S001-WAT-03;S001-WAT-04;S001-WAT-05;S001-WAT-06</x:v>
      </x:c>
      <x:c r="P21" s="7" t="str">
        <x:v>Q3-T-020</x:v>
      </x:c>
    </x:row>
    <x:row r="22" ht="23" customHeight="1">
      <x:c r="A22" s="2" t="n">
        <x:v>19</x:v>
      </x:c>
      <x:c r="B22" s="2" t="str">
        <x:v>C</x:v>
      </x:c>
      <x:c r="C22" s="2" t="str">
        <x:v>U08</x:v>
      </x:c>
      <x:c r="D22" s="2" t="str">
        <x:v>BAT-C-04</x:v>
      </x:c>
      <x:c r="E22" s="8" t="n">
        <x:v>8490.84659202</x:v>
      </x:c>
      <x:c r="F22" s="8" t="n">
        <x:v>10904.4270418</x:v>
      </x:c>
      <x:c r="G22" s="8" t="n">
        <x:v>4.28804713771</x:v>
      </x:c>
      <x:c r="H22" s="8" t="n">
        <x:v>0.463994107786</x:v>
      </x:c>
      <x:c r="I22" s="8" t="n">
        <x:v>70</x:v>
      </x:c>
      <x:c r="J22" s="8" t="n">
        <x:v>0.207</x:v>
      </x:c>
      <x:c r="K22" s="8" t="n">
        <x:v>7</x:v>
      </x:c>
      <x:c r="L22" s="8" t="str">
        <x:v>S006-S007</x:v>
      </x:c>
      <x:c r="M22" s="8" t="n">
        <x:v>2413.58044976</x:v>
      </x:c>
      <x:c r="N22" s="8" t="n">
        <x:v>12899.1064749</x:v>
      </x:c>
      <x:c r="O22" s="10" t="str">
        <x:v>S006-FOD-01;S006-HYG-01;S006-WAT-02;S006-WAT-03;S007-FOD-01;S007-HYG-01;S007-WAT-02</x:v>
      </x:c>
      <x:c r="P22" s="2" t="str">
        <x:v>Q3-T-021</x:v>
      </x:c>
    </x:row>
    <x:row r="23" ht="23" customHeight="1">
      <x:c r="A23" s="7" t="n">
        <x:v>2</x:v>
      </x:c>
      <x:c r="B23" s="7" t="str">
        <x:v>C</x:v>
      </x:c>
      <x:c r="C23" s="7" t="str">
        <x:v>U07</x:v>
      </x:c>
      <x:c r="D23" s="7" t="str">
        <x:v>BAT-C-01</x:v>
      </x:c>
      <x:c r="E23" s="9" t="n">
        <x:v>9845.13122791</x:v>
      </x:c>
      <x:c r="F23" s="9" t="n">
        <x:v>11339.3062738</x:v>
      </x:c>
      <x:c r="G23" s="9" t="n">
        <x:v>2.40502836213</x:v>
      </x:c>
      <x:c r="H23" s="9" t="n">
        <x:v>0.699371454733</x:v>
      </x:c>
      <x:c r="I23" s="9" t="n">
        <x:v>56</x:v>
      </x:c>
      <x:c r="J23" s="9" t="n">
        <x:v>0.18</x:v>
      </x:c>
      <x:c r="K23" s="9" t="n">
        <x:v>6</x:v>
      </x:c>
      <x:c r="L23" s="9" t="str">
        <x:v>S001</x:v>
      </x:c>
      <x:c r="M23" s="9" t="n">
        <x:v>1494.17504592</x:v>
      </x:c>
      <x:c r="N23" s="9" t="n">
        <x:v>12824.0014553</x:v>
      </x:c>
      <x:c r="O23" s="11" t="str">
        <x:v>S001-FOD-02;S001-FOD-03;S001-HYG-01;S001-HYG-02;S001-WAT-07;S001-WAT-08</x:v>
      </x:c>
      <x:c r="P23" s="7" t="str">
        <x:v>Q3-T-022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BB5A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2" hidden="0" customWidth="1"/>
    <x:col min="8" max="8" width="12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40" customHeight="1">
      <x:c r="A1" s="6" t="str">
        <x:v>box_id</x:v>
      </x:c>
      <x:c r="B1" s="6" t="str">
        <x:v>service_id</x:v>
      </x:c>
      <x:c r="C1" s="6" t="str">
        <x:v>delivery_s</x:v>
      </x:c>
      <x:c r="D1" s="6" t="str">
        <x:v>expected_s</x:v>
      </x:c>
      <x:c r="E1" s="6" t="str">
        <x:v>hard_deadline_s</x:v>
      </x:c>
      <x:c r="F1" s="6" t="str">
        <x:v>priority</x:v>
      </x:c>
      <x:c r="G1" s="6" t="str">
        <x:v>type_id</x:v>
      </x:c>
      <x:c r="H1" s="6" t="str">
        <x:v>aircraft_id</x:v>
      </x:c>
      <x:c r="I1" s="6" t="str">
        <x:v>battery_id</x:v>
      </x:c>
      <x:c r="J1" s="6" t="str">
        <x:v>route_index</x:v>
      </x:c>
      <x:c r="K1" s="6" t="str">
        <x:v>flight_id</x:v>
      </x:c>
    </x:row>
    <x:row r="2" ht="23" customHeight="1">
      <x:c r="A2" s="2" t="str">
        <x:v>S006-MED-01</x:v>
      </x:c>
      <x:c r="B2" s="2" t="str">
        <x:v>S006</x:v>
      </x:c>
      <x:c r="C2" s="12" t="n">
        <x:v>882.398339011</x:v>
      </x:c>
      <x:c r="D2" s="12" t="n">
        <x:v>3600</x:v>
      </x:c>
      <x:c r="E2" s="12" t="n">
        <x:v>3600</x:v>
      </x:c>
      <x:c r="F2" s="12" t="n">
        <x:v>24</x:v>
      </x:c>
      <x:c r="G2" s="2" t="str">
        <x:v>B</x:v>
      </x:c>
      <x:c r="H2" s="2" t="str">
        <x:v>U06</x:v>
      </x:c>
      <x:c r="I2" s="2" t="str">
        <x:v>BAT-B-02</x:v>
      </x:c>
      <x:c r="J2" s="2" t="n">
        <x:v>9</x:v>
      </x:c>
      <x:c r="K2" s="2" t="str">
        <x:v>Q3-T-006</x:v>
      </x:c>
    </x:row>
    <x:row r="3" ht="23" customHeight="1">
      <x:c r="A3" s="7" t="str">
        <x:v>S006-WAT-01</x:v>
      </x:c>
      <x:c r="B3" s="7" t="str">
        <x:v>S006</x:v>
      </x:c>
      <x:c r="C3" s="13" t="n">
        <x:v>882.398339011</x:v>
      </x:c>
      <x:c r="D3" s="13" t="n">
        <x:v>3600</x:v>
      </x:c>
      <x:c r="E3" s="13" t="n">
        <x:v>3600</x:v>
      </x:c>
      <x:c r="F3" s="13" t="n">
        <x:v>12</x:v>
      </x:c>
      <x:c r="G3" s="7" t="str">
        <x:v>B</x:v>
      </x:c>
      <x:c r="H3" s="7" t="str">
        <x:v>U06</x:v>
      </x:c>
      <x:c r="I3" s="7" t="str">
        <x:v>BAT-B-02</x:v>
      </x:c>
      <x:c r="J3" s="7" t="n">
        <x:v>9</x:v>
      </x:c>
      <x:c r="K3" s="7" t="str">
        <x:v>Q3-T-006</x:v>
      </x:c>
    </x:row>
    <x:row r="4" ht="23" customHeight="1">
      <x:c r="A4" s="2" t="str">
        <x:v>S001-MED-01</x:v>
      </x:c>
      <x:c r="B4" s="2" t="str">
        <x:v>S001</x:v>
      </x:c>
      <x:c r="C4" s="12" t="n">
        <x:v>917.676421277</x:v>
      </x:c>
      <x:c r="D4" s="12" t="n">
        <x:v>3600</x:v>
      </x:c>
      <x:c r="E4" s="12" t="n">
        <x:v>3600</x:v>
      </x:c>
      <x:c r="F4" s="12" t="n">
        <x:v>24</x:v>
      </x:c>
      <x:c r="G4" s="2" t="str">
        <x:v>B</x:v>
      </x:c>
      <x:c r="H4" s="2" t="str">
        <x:v>U05</x:v>
      </x:c>
      <x:c r="I4" s="2" t="str">
        <x:v>BAT-B-01</x:v>
      </x:c>
      <x:c r="J4" s="2" t="n">
        <x:v>0</x:v>
      </x:c>
      <x:c r="K4" s="2" t="str">
        <x:v>Q3-T-005</x:v>
      </x:c>
    </x:row>
    <x:row r="5" ht="23" customHeight="1">
      <x:c r="A5" s="7" t="str">
        <x:v>S001-MED-02</x:v>
      </x:c>
      <x:c r="B5" s="7" t="str">
        <x:v>S001</x:v>
      </x:c>
      <x:c r="C5" s="13" t="n">
        <x:v>917.676421277</x:v>
      </x:c>
      <x:c r="D5" s="13" t="n">
        <x:v>3600</x:v>
      </x:c>
      <x:c r="E5" s="13" t="n">
        <x:v>3600</x:v>
      </x:c>
      <x:c r="F5" s="13" t="n">
        <x:v>24</x:v>
      </x:c>
      <x:c r="G5" s="7" t="str">
        <x:v>B</x:v>
      </x:c>
      <x:c r="H5" s="7" t="str">
        <x:v>U05</x:v>
      </x:c>
      <x:c r="I5" s="7" t="str">
        <x:v>BAT-B-01</x:v>
      </x:c>
      <x:c r="J5" s="7" t="n">
        <x:v>0</x:v>
      </x:c>
      <x:c r="K5" s="7" t="str">
        <x:v>Q3-T-005</x:v>
      </x:c>
    </x:row>
    <x:row r="6" ht="23" customHeight="1">
      <x:c r="A6" s="2" t="str">
        <x:v>S001-WAT-01</x:v>
      </x:c>
      <x:c r="B6" s="2" t="str">
        <x:v>S001</x:v>
      </x:c>
      <x:c r="C6" s="12" t="n">
        <x:v>917.676421277</x:v>
      </x:c>
      <x:c r="D6" s="12" t="n">
        <x:v>3600</x:v>
      </x:c>
      <x:c r="E6" s="12" t="n">
        <x:v>3600</x:v>
      </x:c>
      <x:c r="F6" s="12" t="n">
        <x:v>12</x:v>
      </x:c>
      <x:c r="G6" s="2" t="str">
        <x:v>B</x:v>
      </x:c>
      <x:c r="H6" s="2" t="str">
        <x:v>U05</x:v>
      </x:c>
      <x:c r="I6" s="2" t="str">
        <x:v>BAT-B-01</x:v>
      </x:c>
      <x:c r="J6" s="2" t="n">
        <x:v>0</x:v>
      </x:c>
      <x:c r="K6" s="2" t="str">
        <x:v>Q3-T-005</x:v>
      </x:c>
    </x:row>
    <x:row r="7" ht="23" customHeight="1">
      <x:c r="A7" s="7" t="str">
        <x:v>S010-FOD-01</x:v>
      </x:c>
      <x:c r="B7" s="7" t="str">
        <x:v>S010</x:v>
      </x:c>
      <x:c r="C7" s="13" t="n">
        <x:v>1050.3924557</x:v>
      </x:c>
      <x:c r="D7" s="13" t="n">
        <x:v>7200</x:v>
      </x:c>
      <x:c r="E7" s="13"/>
      <x:c r="F7" s="13" t="n">
        <x:v>10</x:v>
      </x:c>
      <x:c r="G7" s="7" t="str">
        <x:v>A</x:v>
      </x:c>
      <x:c r="H7" s="7" t="str">
        <x:v>U04</x:v>
      </x:c>
      <x:c r="I7" s="7" t="str">
        <x:v>BAT-A-04</x:v>
      </x:c>
      <x:c r="J7" s="7" t="n">
        <x:v>14</x:v>
      </x:c>
      <x:c r="K7" s="7" t="str">
        <x:v>Q3-T-004</x:v>
      </x:c>
    </x:row>
    <x:row r="8" ht="23" customHeight="1">
      <x:c r="A8" s="2" t="str">
        <x:v>S010-MED-01</x:v>
      </x:c>
      <x:c r="B8" s="2" t="str">
        <x:v>S010</x:v>
      </x:c>
      <x:c r="C8" s="12" t="n">
        <x:v>1101.58063654</x:v>
      </x:c>
      <x:c r="D8" s="12" t="n">
        <x:v>3600</x:v>
      </x:c>
      <x:c r="E8" s="12" t="n">
        <x:v>3600</x:v>
      </x:c>
      <x:c r="F8" s="12" t="n">
        <x:v>24</x:v>
      </x:c>
      <x:c r="G8" s="2" t="str">
        <x:v>C</x:v>
      </x:c>
      <x:c r="H8" s="2" t="str">
        <x:v>U08</x:v>
      </x:c>
      <x:c r="I8" s="2" t="str">
        <x:v>BAT-C-02</x:v>
      </x:c>
      <x:c r="J8" s="2" t="n">
        <x:v>13</x:v>
      </x:c>
      <x:c r="K8" s="2" t="str">
        <x:v>Q3-T-008</x:v>
      </x:c>
    </x:row>
    <x:row r="9" ht="23" customHeight="1">
      <x:c r="A9" s="7" t="str">
        <x:v>S010-WAT-01</x:v>
      </x:c>
      <x:c r="B9" s="7" t="str">
        <x:v>S010</x:v>
      </x:c>
      <x:c r="C9" s="13" t="n">
        <x:v>1101.58063654</x:v>
      </x:c>
      <x:c r="D9" s="13" t="n">
        <x:v>3600</x:v>
      </x:c>
      <x:c r="E9" s="13" t="n">
        <x:v>3600</x:v>
      </x:c>
      <x:c r="F9" s="13" t="n">
        <x:v>12</x:v>
      </x:c>
      <x:c r="G9" s="7" t="str">
        <x:v>C</x:v>
      </x:c>
      <x:c r="H9" s="7" t="str">
        <x:v>U08</x:v>
      </x:c>
      <x:c r="I9" s="7" t="str">
        <x:v>BAT-C-02</x:v>
      </x:c>
      <x:c r="J9" s="7" t="n">
        <x:v>13</x:v>
      </x:c>
      <x:c r="K9" s="7" t="str">
        <x:v>Q3-T-008</x:v>
      </x:c>
    </x:row>
    <x:row r="10" ht="23" customHeight="1">
      <x:c r="A10" s="2" t="str">
        <x:v>S007-MED-01</x:v>
      </x:c>
      <x:c r="B10" s="2" t="str">
        <x:v>S007</x:v>
      </x:c>
      <x:c r="C10" s="12" t="n">
        <x:v>1141.37344292</x:v>
      </x:c>
      <x:c r="D10" s="12" t="n">
        <x:v>3600</x:v>
      </x:c>
      <x:c r="E10" s="12" t="n">
        <x:v>3600</x:v>
      </x:c>
      <x:c r="F10" s="12" t="n">
        <x:v>24</x:v>
      </x:c>
      <x:c r="G10" s="2" t="str">
        <x:v>A</x:v>
      </x:c>
      <x:c r="H10" s="2" t="str">
        <x:v>U01</x:v>
      </x:c>
      <x:c r="I10" s="2" t="str">
        <x:v>BAT-A-01</x:v>
      </x:c>
      <x:c r="J10" s="2" t="n">
        <x:v>10</x:v>
      </x:c>
      <x:c r="K10" s="2" t="str">
        <x:v>Q3-T-001</x:v>
      </x:c>
    </x:row>
    <x:row r="11" ht="23" customHeight="1">
      <x:c r="A11" s="7" t="str">
        <x:v>S007-WAT-01</x:v>
      </x:c>
      <x:c r="B11" s="7" t="str">
        <x:v>S007</x:v>
      </x:c>
      <x:c r="C11" s="13" t="n">
        <x:v>1141.37344292</x:v>
      </x:c>
      <x:c r="D11" s="13" t="n">
        <x:v>3600</x:v>
      </x:c>
      <x:c r="E11" s="13" t="n">
        <x:v>3600</x:v>
      </x:c>
      <x:c r="F11" s="13" t="n">
        <x:v>12</x:v>
      </x:c>
      <x:c r="G11" s="7" t="str">
        <x:v>A</x:v>
      </x:c>
      <x:c r="H11" s="7" t="str">
        <x:v>U01</x:v>
      </x:c>
      <x:c r="I11" s="7" t="str">
        <x:v>BAT-A-01</x:v>
      </x:c>
      <x:c r="J11" s="7" t="n">
        <x:v>10</x:v>
      </x:c>
      <x:c r="K11" s="7" t="str">
        <x:v>Q3-T-001</x:v>
      </x:c>
    </x:row>
    <x:row r="12" ht="23" customHeight="1">
      <x:c r="A12" s="2" t="str">
        <x:v>S014-MED-01</x:v>
      </x:c>
      <x:c r="B12" s="2" t="str">
        <x:v>S014</x:v>
      </x:c>
      <x:c r="C12" s="12" t="n">
        <x:v>1278.16556339</x:v>
      </x:c>
      <x:c r="D12" s="12" t="n">
        <x:v>7200</x:v>
      </x:c>
      <x:c r="E12" s="12" t="n">
        <x:v>3600</x:v>
      </x:c>
      <x:c r="F12" s="12" t="n">
        <x:v>22</x:v>
      </x:c>
      <x:c r="G12" s="2" t="str">
        <x:v>A</x:v>
      </x:c>
      <x:c r="H12" s="2" t="str">
        <x:v>U02</x:v>
      </x:c>
      <x:c r="I12" s="2" t="str">
        <x:v>BAT-A-02</x:v>
      </x:c>
      <x:c r="J12" s="2" t="n">
        <x:v>16</x:v>
      </x:c>
      <x:c r="K12" s="2" t="str">
        <x:v>Q3-T-002</x:v>
      </x:c>
    </x:row>
    <x:row r="13" ht="23" customHeight="1">
      <x:c r="A13" s="7" t="str">
        <x:v>S014-WAT-01</x:v>
      </x:c>
      <x:c r="B13" s="7" t="str">
        <x:v>S014</x:v>
      </x:c>
      <x:c r="C13" s="13" t="n">
        <x:v>1278.16556339</x:v>
      </x:c>
      <x:c r="D13" s="13" t="n">
        <x:v>3600</x:v>
      </x:c>
      <x:c r="E13" s="13" t="n">
        <x:v>3600</x:v>
      </x:c>
      <x:c r="F13" s="13" t="n">
        <x:v>12</x:v>
      </x:c>
      <x:c r="G13" s="7" t="str">
        <x:v>A</x:v>
      </x:c>
      <x:c r="H13" s="7" t="str">
        <x:v>U02</x:v>
      </x:c>
      <x:c r="I13" s="7" t="str">
        <x:v>BAT-A-02</x:v>
      </x:c>
      <x:c r="J13" s="7" t="n">
        <x:v>16</x:v>
      </x:c>
      <x:c r="K13" s="7" t="str">
        <x:v>Q3-T-002</x:v>
      </x:c>
    </x:row>
    <x:row r="14" ht="23" customHeight="1">
      <x:c r="A14" s="2" t="str">
        <x:v>S002-MED-01</x:v>
      </x:c>
      <x:c r="B14" s="2" t="str">
        <x:v>S002</x:v>
      </x:c>
      <x:c r="C14" s="12" t="n">
        <x:v>1289.23705831</x:v>
      </x:c>
      <x:c r="D14" s="12" t="n">
        <x:v>3600</x:v>
      </x:c>
      <x:c r="E14" s="12" t="n">
        <x:v>3600</x:v>
      </x:c>
      <x:c r="F14" s="12" t="n">
        <x:v>24</x:v>
      </x:c>
      <x:c r="G14" s="2" t="str">
        <x:v>A</x:v>
      </x:c>
      <x:c r="H14" s="2" t="str">
        <x:v>U03</x:v>
      </x:c>
      <x:c r="I14" s="2" t="str">
        <x:v>BAT-A-03</x:v>
      </x:c>
      <x:c r="J14" s="2" t="n">
        <x:v>3</x:v>
      </x:c>
      <x:c r="K14" s="2" t="str">
        <x:v>Q3-T-003</x:v>
      </x:c>
    </x:row>
    <x:row r="15" ht="23" customHeight="1">
      <x:c r="A15" s="7" t="str">
        <x:v>S002-WAT-01</x:v>
      </x:c>
      <x:c r="B15" s="7" t="str">
        <x:v>S002</x:v>
      </x:c>
      <x:c r="C15" s="13" t="n">
        <x:v>1289.23705831</x:v>
      </x:c>
      <x:c r="D15" s="13" t="n">
        <x:v>3600</x:v>
      </x:c>
      <x:c r="E15" s="13" t="n">
        <x:v>3600</x:v>
      </x:c>
      <x:c r="F15" s="13" t="n">
        <x:v>12</x:v>
      </x:c>
      <x:c r="G15" s="7" t="str">
        <x:v>A</x:v>
      </x:c>
      <x:c r="H15" s="7" t="str">
        <x:v>U03</x:v>
      </x:c>
      <x:c r="I15" s="7" t="str">
        <x:v>BAT-A-03</x:v>
      </x:c>
      <x:c r="J15" s="7" t="n">
        <x:v>3</x:v>
      </x:c>
      <x:c r="K15" s="7" t="str">
        <x:v>Q3-T-003</x:v>
      </x:c>
    </x:row>
    <x:row r="16" ht="23" customHeight="1">
      <x:c r="A16" s="2" t="str">
        <x:v>S002-FOD-01</x:v>
      </x:c>
      <x:c r="B16" s="2" t="str">
        <x:v>S002</x:v>
      </x:c>
      <x:c r="C16" s="12" t="n">
        <x:v>1492.7405371</x:v>
      </x:c>
      <x:c r="D16" s="12" t="n">
        <x:v>7200</x:v>
      </x:c>
      <x:c r="E16" s="12"/>
      <x:c r="F16" s="12" t="n">
        <x:v>10</x:v>
      </x:c>
      <x:c r="G16" s="2" t="str">
        <x:v>C</x:v>
      </x:c>
      <x:c r="H16" s="2" t="str">
        <x:v>U07</x:v>
      </x:c>
      <x:c r="I16" s="2" t="str">
        <x:v>BAT-C-01</x:v>
      </x:c>
      <x:c r="J16" s="2" t="n">
        <x:v>4</x:v>
      </x:c>
      <x:c r="K16" s="2" t="str">
        <x:v>Q3-T-007</x:v>
      </x:c>
    </x:row>
    <x:row r="17" ht="23" customHeight="1">
      <x:c r="A17" s="7" t="str">
        <x:v>S002-FOD-02</x:v>
      </x:c>
      <x:c r="B17" s="7" t="str">
        <x:v>S002</x:v>
      </x:c>
      <x:c r="C17" s="13" t="n">
        <x:v>1492.7405371</x:v>
      </x:c>
      <x:c r="D17" s="13" t="n">
        <x:v>7200</x:v>
      </x:c>
      <x:c r="E17" s="13"/>
      <x:c r="F17" s="13" t="n">
        <x:v>10</x:v>
      </x:c>
      <x:c r="G17" s="7" t="str">
        <x:v>C</x:v>
      </x:c>
      <x:c r="H17" s="7" t="str">
        <x:v>U07</x:v>
      </x:c>
      <x:c r="I17" s="7" t="str">
        <x:v>BAT-C-01</x:v>
      </x:c>
      <x:c r="J17" s="7" t="n">
        <x:v>4</x:v>
      </x:c>
      <x:c r="K17" s="7" t="str">
        <x:v>Q3-T-007</x:v>
      </x:c>
    </x:row>
    <x:row r="18" ht="23" customHeight="1">
      <x:c r="A18" s="2" t="str">
        <x:v>S002-HYG-01</x:v>
      </x:c>
      <x:c r="B18" s="2" t="str">
        <x:v>S002</x:v>
      </x:c>
      <x:c r="C18" s="12" t="n">
        <x:v>1492.7405371</x:v>
      </x:c>
      <x:c r="D18" s="12" t="n">
        <x:v>10800</x:v>
      </x:c>
      <x:c r="E18" s="12"/>
      <x:c r="F18" s="12" t="n">
        <x:v>8</x:v>
      </x:c>
      <x:c r="G18" s="2" t="str">
        <x:v>C</x:v>
      </x:c>
      <x:c r="H18" s="2" t="str">
        <x:v>U07</x:v>
      </x:c>
      <x:c r="I18" s="2" t="str">
        <x:v>BAT-C-01</x:v>
      </x:c>
      <x:c r="J18" s="2" t="n">
        <x:v>4</x:v>
      </x:c>
      <x:c r="K18" s="2" t="str">
        <x:v>Q3-T-007</x:v>
      </x:c>
    </x:row>
    <x:row r="19" ht="23" customHeight="1">
      <x:c r="A19" s="7" t="str">
        <x:v>S002-WAT-02</x:v>
      </x:c>
      <x:c r="B19" s="7" t="str">
        <x:v>S002</x:v>
      </x:c>
      <x:c r="C19" s="13" t="n">
        <x:v>1492.7405371</x:v>
      </x:c>
      <x:c r="D19" s="13" t="n">
        <x:v>3600</x:v>
      </x:c>
      <x:c r="E19" s="13"/>
      <x:c r="F19" s="13" t="n">
        <x:v>12</x:v>
      </x:c>
      <x:c r="G19" s="7" t="str">
        <x:v>C</x:v>
      </x:c>
      <x:c r="H19" s="7" t="str">
        <x:v>U07</x:v>
      </x:c>
      <x:c r="I19" s="7" t="str">
        <x:v>BAT-C-01</x:v>
      </x:c>
      <x:c r="J19" s="7" t="n">
        <x:v>4</x:v>
      </x:c>
      <x:c r="K19" s="7" t="str">
        <x:v>Q3-T-007</x:v>
      </x:c>
    </x:row>
    <x:row r="20" ht="23" customHeight="1">
      <x:c r="A20" s="2" t="str">
        <x:v>S002-WAT-03</x:v>
      </x:c>
      <x:c r="B20" s="2" t="str">
        <x:v>S002</x:v>
      </x:c>
      <x:c r="C20" s="12" t="n">
        <x:v>1492.7405371</x:v>
      </x:c>
      <x:c r="D20" s="12" t="n">
        <x:v>3600</x:v>
      </x:c>
      <x:c r="E20" s="12"/>
      <x:c r="F20" s="12" t="n">
        <x:v>12</x:v>
      </x:c>
      <x:c r="G20" s="2" t="str">
        <x:v>C</x:v>
      </x:c>
      <x:c r="H20" s="2" t="str">
        <x:v>U07</x:v>
      </x:c>
      <x:c r="I20" s="2" t="str">
        <x:v>BAT-C-01</x:v>
      </x:c>
      <x:c r="J20" s="2" t="n">
        <x:v>4</x:v>
      </x:c>
      <x:c r="K20" s="2" t="str">
        <x:v>Q3-T-007</x:v>
      </x:c>
    </x:row>
    <x:row r="21" ht="23" customHeight="1">
      <x:c r="A21" s="7" t="str">
        <x:v>S002-WAT-04</x:v>
      </x:c>
      <x:c r="B21" s="7" t="str">
        <x:v>S002</x:v>
      </x:c>
      <x:c r="C21" s="13" t="n">
        <x:v>1492.7405371</x:v>
      </x:c>
      <x:c r="D21" s="13" t="n">
        <x:v>3600</x:v>
      </x:c>
      <x:c r="E21" s="13"/>
      <x:c r="F21" s="13" t="n">
        <x:v>12</x:v>
      </x:c>
      <x:c r="G21" s="7" t="str">
        <x:v>C</x:v>
      </x:c>
      <x:c r="H21" s="7" t="str">
        <x:v>U07</x:v>
      </x:c>
      <x:c r="I21" s="7" t="str">
        <x:v>BAT-C-01</x:v>
      </x:c>
      <x:c r="J21" s="7" t="n">
        <x:v>4</x:v>
      </x:c>
      <x:c r="K21" s="7" t="str">
        <x:v>Q3-T-007</x:v>
      </x:c>
    </x:row>
    <x:row r="22" ht="23" customHeight="1">
      <x:c r="A22" s="2" t="str">
        <x:v>S013-FOD-01</x:v>
      </x:c>
      <x:c r="B22" s="2" t="str">
        <x:v>S013</x:v>
      </x:c>
      <x:c r="C22" s="12" t="n">
        <x:v>2275.46859316</x:v>
      </x:c>
      <x:c r="D22" s="12" t="n">
        <x:v>7200</x:v>
      </x:c>
      <x:c r="E22" s="12"/>
      <x:c r="F22" s="12" t="n">
        <x:v>10</x:v>
      </x:c>
      <x:c r="G22" s="2" t="str">
        <x:v>B</x:v>
      </x:c>
      <x:c r="H22" s="2" t="str">
        <x:v>U06</x:v>
      </x:c>
      <x:c r="I22" s="2" t="str">
        <x:v>BAT-B-03</x:v>
      </x:c>
      <x:c r="J22" s="2" t="n">
        <x:v>21</x:v>
      </x:c>
      <x:c r="K22" s="2" t="str">
        <x:v>Q3-T-009</x:v>
      </x:c>
    </x:row>
    <x:row r="23" ht="23" customHeight="1">
      <x:c r="A23" s="7" t="str">
        <x:v>S013-MED-01</x:v>
      </x:c>
      <x:c r="B23" s="7" t="str">
        <x:v>S013</x:v>
      </x:c>
      <x:c r="C23" s="13" t="n">
        <x:v>2275.46859316</x:v>
      </x:c>
      <x:c r="D23" s="13" t="n">
        <x:v>3600</x:v>
      </x:c>
      <x:c r="E23" s="13" t="n">
        <x:v>3600</x:v>
      </x:c>
      <x:c r="F23" s="13" t="n">
        <x:v>24</x:v>
      </x:c>
      <x:c r="G23" s="7" t="str">
        <x:v>B</x:v>
      </x:c>
      <x:c r="H23" s="7" t="str">
        <x:v>U06</x:v>
      </x:c>
      <x:c r="I23" s="7" t="str">
        <x:v>BAT-B-03</x:v>
      </x:c>
      <x:c r="J23" s="7" t="n">
        <x:v>21</x:v>
      </x:c>
      <x:c r="K23" s="7" t="str">
        <x:v>Q3-T-009</x:v>
      </x:c>
    </x:row>
    <x:row r="24" ht="23" customHeight="1">
      <x:c r="A24" s="2" t="str">
        <x:v>S013-WAT-01</x:v>
      </x:c>
      <x:c r="B24" s="2" t="str">
        <x:v>S013</x:v>
      </x:c>
      <x:c r="C24" s="12" t="n">
        <x:v>2275.46859316</x:v>
      </x:c>
      <x:c r="D24" s="12" t="n">
        <x:v>3600</x:v>
      </x:c>
      <x:c r="E24" s="12" t="n">
        <x:v>3600</x:v>
      </x:c>
      <x:c r="F24" s="12" t="n">
        <x:v>12</x:v>
      </x:c>
      <x:c r="G24" s="2" t="str">
        <x:v>B</x:v>
      </x:c>
      <x:c r="H24" s="2" t="str">
        <x:v>U06</x:v>
      </x:c>
      <x:c r="I24" s="2" t="str">
        <x:v>BAT-B-03</x:v>
      </x:c>
      <x:c r="J24" s="2" t="n">
        <x:v>21</x:v>
      </x:c>
      <x:c r="K24" s="2" t="str">
        <x:v>Q3-T-009</x:v>
      </x:c>
    </x:row>
    <x:row r="25" ht="23" customHeight="1">
      <x:c r="A25" s="7" t="str">
        <x:v>S012-FOD-01</x:v>
      </x:c>
      <x:c r="B25" s="7" t="str">
        <x:v>S012</x:v>
      </x:c>
      <x:c r="C25" s="13" t="n">
        <x:v>2485.85903709</x:v>
      </x:c>
      <x:c r="D25" s="13" t="n">
        <x:v>7200</x:v>
      </x:c>
      <x:c r="E25" s="13"/>
      <x:c r="F25" s="13" t="n">
        <x:v>10</x:v>
      </x:c>
      <x:c r="G25" s="7" t="str">
        <x:v>B</x:v>
      </x:c>
      <x:c r="H25" s="7" t="str">
        <x:v>U05</x:v>
      </x:c>
      <x:c r="I25" s="7" t="str">
        <x:v>BAT-B-04</x:v>
      </x:c>
      <x:c r="J25" s="7" t="n">
        <x:v>20</x:v>
      </x:c>
      <x:c r="K25" s="7" t="str">
        <x:v>Q3-T-010</x:v>
      </x:c>
    </x:row>
    <x:row r="26" ht="23" customHeight="1">
      <x:c r="A26" s="2" t="str">
        <x:v>S012-MED-01</x:v>
      </x:c>
      <x:c r="B26" s="2" t="str">
        <x:v>S012</x:v>
      </x:c>
      <x:c r="C26" s="12" t="n">
        <x:v>2485.85903709</x:v>
      </x:c>
      <x:c r="D26" s="12" t="n">
        <x:v>7200</x:v>
      </x:c>
      <x:c r="E26" s="12" t="n">
        <x:v>3600</x:v>
      </x:c>
      <x:c r="F26" s="12" t="n">
        <x:v>22</x:v>
      </x:c>
      <x:c r="G26" s="2" t="str">
        <x:v>B</x:v>
      </x:c>
      <x:c r="H26" s="2" t="str">
        <x:v>U05</x:v>
      </x:c>
      <x:c r="I26" s="2" t="str">
        <x:v>BAT-B-04</x:v>
      </x:c>
      <x:c r="J26" s="2" t="n">
        <x:v>20</x:v>
      </x:c>
      <x:c r="K26" s="2" t="str">
        <x:v>Q3-T-010</x:v>
      </x:c>
    </x:row>
    <x:row r="27" ht="23" customHeight="1">
      <x:c r="A27" s="7" t="str">
        <x:v>S012-WAT-01</x:v>
      </x:c>
      <x:c r="B27" s="7" t="str">
        <x:v>S012</x:v>
      </x:c>
      <x:c r="C27" s="13" t="n">
        <x:v>2485.85903709</x:v>
      </x:c>
      <x:c r="D27" s="13" t="n">
        <x:v>3600</x:v>
      </x:c>
      <x:c r="E27" s="13" t="n">
        <x:v>3600</x:v>
      </x:c>
      <x:c r="F27" s="13" t="n">
        <x:v>12</x:v>
      </x:c>
      <x:c r="G27" s="7" t="str">
        <x:v>B</x:v>
      </x:c>
      <x:c r="H27" s="7" t="str">
        <x:v>U05</x:v>
      </x:c>
      <x:c r="I27" s="7" t="str">
        <x:v>BAT-B-04</x:v>
      </x:c>
      <x:c r="J27" s="7" t="n">
        <x:v>20</x:v>
      </x:c>
      <x:c r="K27" s="7" t="str">
        <x:v>Q3-T-010</x:v>
      </x:c>
    </x:row>
    <x:row r="28" ht="23" customHeight="1">
      <x:c r="A28" s="2" t="str">
        <x:v>S014-FOD-01</x:v>
      </x:c>
      <x:c r="B28" s="2" t="str">
        <x:v>S014</x:v>
      </x:c>
      <x:c r="C28" s="12" t="n">
        <x:v>2813.0582333</x:v>
      </x:c>
      <x:c r="D28" s="12" t="n">
        <x:v>7200</x:v>
      </x:c>
      <x:c r="E28" s="12"/>
      <x:c r="F28" s="12" t="n">
        <x:v>10</x:v>
      </x:c>
      <x:c r="G28" s="2" t="str">
        <x:v>A</x:v>
      </x:c>
      <x:c r="H28" s="2" t="str">
        <x:v>U04</x:v>
      </x:c>
      <x:c r="I28" s="2" t="str">
        <x:v>BAT-A-05</x:v>
      </x:c>
      <x:c r="J28" s="2" t="n">
        <x:v>17</x:v>
      </x:c>
      <x:c r="K28" s="2" t="str">
        <x:v>Q3-T-011</x:v>
      </x:c>
    </x:row>
    <x:row r="29" ht="23" customHeight="1">
      <x:c r="A29" s="7" t="str">
        <x:v>S003-FOD-01</x:v>
      </x:c>
      <x:c r="B29" s="7" t="str">
        <x:v>S003</x:v>
      </x:c>
      <x:c r="C29" s="13" t="n">
        <x:v>3454.23548091</x:v>
      </x:c>
      <x:c r="D29" s="13" t="n">
        <x:v>10800</x:v>
      </x:c>
      <x:c r="E29" s="13"/>
      <x:c r="F29" s="13" t="n">
        <x:v>8</x:v>
      </x:c>
      <x:c r="G29" s="7" t="str">
        <x:v>C</x:v>
      </x:c>
      <x:c r="H29" s="7" t="str">
        <x:v>U08</x:v>
      </x:c>
      <x:c r="I29" s="7" t="str">
        <x:v>BAT-C-03</x:v>
      </x:c>
      <x:c r="J29" s="7" t="n">
        <x:v>5</x:v>
      </x:c>
      <x:c r="K29" s="7" t="str">
        <x:v>Q3-T-012</x:v>
      </x:c>
    </x:row>
    <x:row r="30" ht="23" customHeight="1">
      <x:c r="A30" s="2" t="str">
        <x:v>S003-MED-01</x:v>
      </x:c>
      <x:c r="B30" s="2" t="str">
        <x:v>S003</x:v>
      </x:c>
      <x:c r="C30" s="12" t="n">
        <x:v>3454.23548091</x:v>
      </x:c>
      <x:c r="D30" s="12" t="n">
        <x:v>7200</x:v>
      </x:c>
      <x:c r="E30" s="12" t="n">
        <x:v>7200</x:v>
      </x:c>
      <x:c r="F30" s="12" t="n">
        <x:v>20</x:v>
      </x:c>
      <x:c r="G30" s="2" t="str">
        <x:v>C</x:v>
      </x:c>
      <x:c r="H30" s="2" t="str">
        <x:v>U08</x:v>
      </x:c>
      <x:c r="I30" s="2" t="str">
        <x:v>BAT-C-03</x:v>
      </x:c>
      <x:c r="J30" s="2" t="n">
        <x:v>5</x:v>
      </x:c>
      <x:c r="K30" s="2" t="str">
        <x:v>Q3-T-012</x:v>
      </x:c>
    </x:row>
    <x:row r="31" ht="23" customHeight="1">
      <x:c r="A31" s="7" t="str">
        <x:v>S003-WAT-01</x:v>
      </x:c>
      <x:c r="B31" s="7" t="str">
        <x:v>S003</x:v>
      </x:c>
      <x:c r="C31" s="13" t="n">
        <x:v>3454.23548091</x:v>
      </x:c>
      <x:c r="D31" s="13" t="n">
        <x:v>7200</x:v>
      </x:c>
      <x:c r="E31" s="13" t="n">
        <x:v>7200</x:v>
      </x:c>
      <x:c r="F31" s="13" t="n">
        <x:v>10</x:v>
      </x:c>
      <x:c r="G31" s="7" t="str">
        <x:v>C</x:v>
      </x:c>
      <x:c r="H31" s="7" t="str">
        <x:v>U08</x:v>
      </x:c>
      <x:c r="I31" s="7" t="str">
        <x:v>BAT-C-03</x:v>
      </x:c>
      <x:c r="J31" s="7" t="n">
        <x:v>5</x:v>
      </x:c>
      <x:c r="K31" s="7" t="str">
        <x:v>Q3-T-012</x:v>
      </x:c>
    </x:row>
    <x:row r="32" ht="23" customHeight="1">
      <x:c r="A32" s="2" t="str">
        <x:v>S003-WAT-02</x:v>
      </x:c>
      <x:c r="B32" s="2" t="str">
        <x:v>S003</x:v>
      </x:c>
      <x:c r="C32" s="12" t="n">
        <x:v>3454.23548091</x:v>
      </x:c>
      <x:c r="D32" s="12" t="n">
        <x:v>7200</x:v>
      </x:c>
      <x:c r="E32" s="12"/>
      <x:c r="F32" s="12" t="n">
        <x:v>10</x:v>
      </x:c>
      <x:c r="G32" s="2" t="str">
        <x:v>C</x:v>
      </x:c>
      <x:c r="H32" s="2" t="str">
        <x:v>U08</x:v>
      </x:c>
      <x:c r="I32" s="2" t="str">
        <x:v>BAT-C-03</x:v>
      </x:c>
      <x:c r="J32" s="2" t="n">
        <x:v>5</x:v>
      </x:c>
      <x:c r="K32" s="2" t="str">
        <x:v>Q3-T-012</x:v>
      </x:c>
    </x:row>
    <x:row r="33" ht="23" customHeight="1">
      <x:c r="A33" s="7" t="str">
        <x:v>S003-WAT-03</x:v>
      </x:c>
      <x:c r="B33" s="7" t="str">
        <x:v>S003</x:v>
      </x:c>
      <x:c r="C33" s="13" t="n">
        <x:v>3454.23548091</x:v>
      </x:c>
      <x:c r="D33" s="13" t="n">
        <x:v>7200</x:v>
      </x:c>
      <x:c r="E33" s="13"/>
      <x:c r="F33" s="13" t="n">
        <x:v>10</x:v>
      </x:c>
      <x:c r="G33" s="7" t="str">
        <x:v>C</x:v>
      </x:c>
      <x:c r="H33" s="7" t="str">
        <x:v>U08</x:v>
      </x:c>
      <x:c r="I33" s="7" t="str">
        <x:v>BAT-C-03</x:v>
      </x:c>
      <x:c r="J33" s="7" t="n">
        <x:v>5</x:v>
      </x:c>
      <x:c r="K33" s="7" t="str">
        <x:v>Q3-T-012</x:v>
      </x:c>
    </x:row>
    <x:row r="34" ht="23" customHeight="1">
      <x:c r="A34" s="2" t="str">
        <x:v>S003-WAT-04</x:v>
      </x:c>
      <x:c r="B34" s="2" t="str">
        <x:v>S003</x:v>
      </x:c>
      <x:c r="C34" s="12" t="n">
        <x:v>3454.23548091</x:v>
      </x:c>
      <x:c r="D34" s="12" t="n">
        <x:v>7200</x:v>
      </x:c>
      <x:c r="E34" s="12"/>
      <x:c r="F34" s="12" t="n">
        <x:v>10</x:v>
      </x:c>
      <x:c r="G34" s="2" t="str">
        <x:v>C</x:v>
      </x:c>
      <x:c r="H34" s="2" t="str">
        <x:v>U08</x:v>
      </x:c>
      <x:c r="I34" s="2" t="str">
        <x:v>BAT-C-03</x:v>
      </x:c>
      <x:c r="J34" s="2" t="n">
        <x:v>5</x:v>
      </x:c>
      <x:c r="K34" s="2" t="str">
        <x:v>Q3-T-012</x:v>
      </x:c>
    </x:row>
    <x:row r="35" ht="23" customHeight="1">
      <x:c r="A35" s="7" t="str">
        <x:v>S004-FOD-01</x:v>
      </x:c>
      <x:c r="B35" s="7" t="str">
        <x:v>S004</x:v>
      </x:c>
      <x:c r="C35" s="13" t="n">
        <x:v>5273.55628102</x:v>
      </x:c>
      <x:c r="D35" s="13" t="n">
        <x:v>10800</x:v>
      </x:c>
      <x:c r="E35" s="13"/>
      <x:c r="F35" s="13" t="n">
        <x:v>8</x:v>
      </x:c>
      <x:c r="G35" s="7" t="str">
        <x:v>C</x:v>
      </x:c>
      <x:c r="H35" s="7" t="str">
        <x:v>U07</x:v>
      </x:c>
      <x:c r="I35" s="7" t="str">
        <x:v>BAT-C-04</x:v>
      </x:c>
      <x:c r="J35" s="7" t="n">
        <x:v>7</x:v>
      </x:c>
      <x:c r="K35" s="7" t="str">
        <x:v>Q3-T-013</x:v>
      </x:c>
    </x:row>
    <x:row r="36" ht="23" customHeight="1">
      <x:c r="A36" s="2" t="str">
        <x:v>S004-HYG-01</x:v>
      </x:c>
      <x:c r="B36" s="2" t="str">
        <x:v>S004</x:v>
      </x:c>
      <x:c r="C36" s="12" t="n">
        <x:v>5273.55628102</x:v>
      </x:c>
      <x:c r="D36" s="12" t="n">
        <x:v>14400</x:v>
      </x:c>
      <x:c r="E36" s="12"/>
      <x:c r="F36" s="12" t="n">
        <x:v>6</x:v>
      </x:c>
      <x:c r="G36" s="2" t="str">
        <x:v>C</x:v>
      </x:c>
      <x:c r="H36" s="2" t="str">
        <x:v>U07</x:v>
      </x:c>
      <x:c r="I36" s="2" t="str">
        <x:v>BAT-C-04</x:v>
      </x:c>
      <x:c r="J36" s="2" t="n">
        <x:v>7</x:v>
      </x:c>
      <x:c r="K36" s="2" t="str">
        <x:v>Q3-T-013</x:v>
      </x:c>
    </x:row>
    <x:row r="37" ht="23" customHeight="1">
      <x:c r="A37" s="7" t="str">
        <x:v>S004-MED-01</x:v>
      </x:c>
      <x:c r="B37" s="7" t="str">
        <x:v>S004</x:v>
      </x:c>
      <x:c r="C37" s="13" t="n">
        <x:v>5273.55628102</x:v>
      </x:c>
      <x:c r="D37" s="13" t="n">
        <x:v>7200</x:v>
      </x:c>
      <x:c r="E37" s="13" t="n">
        <x:v>7200</x:v>
      </x:c>
      <x:c r="F37" s="13" t="n">
        <x:v>20</x:v>
      </x:c>
      <x:c r="G37" s="7" t="str">
        <x:v>C</x:v>
      </x:c>
      <x:c r="H37" s="7" t="str">
        <x:v>U07</x:v>
      </x:c>
      <x:c r="I37" s="7" t="str">
        <x:v>BAT-C-04</x:v>
      </x:c>
      <x:c r="J37" s="7" t="n">
        <x:v>7</x:v>
      </x:c>
      <x:c r="K37" s="7" t="str">
        <x:v>Q3-T-013</x:v>
      </x:c>
    </x:row>
    <x:row r="38" ht="23" customHeight="1">
      <x:c r="A38" s="2" t="str">
        <x:v>S004-WAT-01</x:v>
      </x:c>
      <x:c r="B38" s="2" t="str">
        <x:v>S004</x:v>
      </x:c>
      <x:c r="C38" s="12" t="n">
        <x:v>5273.55628102</x:v>
      </x:c>
      <x:c r="D38" s="12" t="n">
        <x:v>7200</x:v>
      </x:c>
      <x:c r="E38" s="12" t="n">
        <x:v>7200</x:v>
      </x:c>
      <x:c r="F38" s="12" t="n">
        <x:v>10</x:v>
      </x:c>
      <x:c r="G38" s="2" t="str">
        <x:v>C</x:v>
      </x:c>
      <x:c r="H38" s="2" t="str">
        <x:v>U07</x:v>
      </x:c>
      <x:c r="I38" s="2" t="str">
        <x:v>BAT-C-04</x:v>
      </x:c>
      <x:c r="J38" s="2" t="n">
        <x:v>7</x:v>
      </x:c>
      <x:c r="K38" s="2" t="str">
        <x:v>Q3-T-013</x:v>
      </x:c>
    </x:row>
    <x:row r="39" ht="23" customHeight="1">
      <x:c r="A39" s="7" t="str">
        <x:v>S004-WAT-02</x:v>
      </x:c>
      <x:c r="B39" s="7" t="str">
        <x:v>S004</x:v>
      </x:c>
      <x:c r="C39" s="13" t="n">
        <x:v>5273.55628102</x:v>
      </x:c>
      <x:c r="D39" s="13" t="n">
        <x:v>7200</x:v>
      </x:c>
      <x:c r="E39" s="13"/>
      <x:c r="F39" s="13" t="n">
        <x:v>10</x:v>
      </x:c>
      <x:c r="G39" s="7" t="str">
        <x:v>C</x:v>
      </x:c>
      <x:c r="H39" s="7" t="str">
        <x:v>U07</x:v>
      </x:c>
      <x:c r="I39" s="7" t="str">
        <x:v>BAT-C-04</x:v>
      </x:c>
      <x:c r="J39" s="7" t="n">
        <x:v>7</x:v>
      </x:c>
      <x:c r="K39" s="7" t="str">
        <x:v>Q3-T-013</x:v>
      </x:c>
    </x:row>
    <x:row r="40" ht="23" customHeight="1">
      <x:c r="A40" s="2" t="str">
        <x:v>S004-WAT-03</x:v>
      </x:c>
      <x:c r="B40" s="2" t="str">
        <x:v>S004</x:v>
      </x:c>
      <x:c r="C40" s="12" t="n">
        <x:v>5273.55628102</x:v>
      </x:c>
      <x:c r="D40" s="12" t="n">
        <x:v>7200</x:v>
      </x:c>
      <x:c r="E40" s="12"/>
      <x:c r="F40" s="12" t="n">
        <x:v>10</x:v>
      </x:c>
      <x:c r="G40" s="2" t="str">
        <x:v>C</x:v>
      </x:c>
      <x:c r="H40" s="2" t="str">
        <x:v>U07</x:v>
      </x:c>
      <x:c r="I40" s="2" t="str">
        <x:v>BAT-C-04</x:v>
      </x:c>
      <x:c r="J40" s="2" t="n">
        <x:v>7</x:v>
      </x:c>
      <x:c r="K40" s="2" t="str">
        <x:v>Q3-T-013</x:v>
      </x:c>
    </x:row>
    <x:row r="41" ht="23" customHeight="1">
      <x:c r="A41" s="7" t="str">
        <x:v>S015-FOD-01</x:v>
      </x:c>
      <x:c r="B41" s="7" t="str">
        <x:v>S015</x:v>
      </x:c>
      <x:c r="C41" s="13" t="n">
        <x:v>4141.33964063</x:v>
      </x:c>
      <x:c r="D41" s="13" t="n">
        <x:v>14400</x:v>
      </x:c>
      <x:c r="E41" s="13"/>
      <x:c r="F41" s="13" t="n">
        <x:v>6</x:v>
      </x:c>
      <x:c r="G41" s="7" t="str">
        <x:v>B</x:v>
      </x:c>
      <x:c r="H41" s="7" t="str">
        <x:v>U06</x:v>
      </x:c>
      <x:c r="I41" s="7" t="str">
        <x:v>BAT-B-01</x:v>
      </x:c>
      <x:c r="J41" s="7" t="n">
        <x:v>18</x:v>
      </x:c>
      <x:c r="K41" s="7" t="str">
        <x:v>Q3-T-014</x:v>
      </x:c>
    </x:row>
    <x:row r="42" ht="23" customHeight="1">
      <x:c r="A42" s="2" t="str">
        <x:v>S015-MED-01</x:v>
      </x:c>
      <x:c r="B42" s="2" t="str">
        <x:v>S015</x:v>
      </x:c>
      <x:c r="C42" s="12" t="n">
        <x:v>4141.33964063</x:v>
      </x:c>
      <x:c r="D42" s="12" t="n">
        <x:v>7200</x:v>
      </x:c>
      <x:c r="E42" s="12" t="n">
        <x:v>7200</x:v>
      </x:c>
      <x:c r="F42" s="12" t="n">
        <x:v>18</x:v>
      </x:c>
      <x:c r="G42" s="2" t="str">
        <x:v>B</x:v>
      </x:c>
      <x:c r="H42" s="2" t="str">
        <x:v>U06</x:v>
      </x:c>
      <x:c r="I42" s="2" t="str">
        <x:v>BAT-B-01</x:v>
      </x:c>
      <x:c r="J42" s="2" t="n">
        <x:v>18</x:v>
      </x:c>
      <x:c r="K42" s="2" t="str">
        <x:v>Q3-T-014</x:v>
      </x:c>
    </x:row>
    <x:row r="43" ht="23" customHeight="1">
      <x:c r="A43" s="7" t="str">
        <x:v>S015-WAT-01</x:v>
      </x:c>
      <x:c r="B43" s="7" t="str">
        <x:v>S015</x:v>
      </x:c>
      <x:c r="C43" s="13" t="n">
        <x:v>4141.33964063</x:v>
      </x:c>
      <x:c r="D43" s="13" t="n">
        <x:v>10800</x:v>
      </x:c>
      <x:c r="E43" s="13" t="n">
        <x:v>10800</x:v>
      </x:c>
      <x:c r="F43" s="13" t="n">
        <x:v>8</x:v>
      </x:c>
      <x:c r="G43" s="7" t="str">
        <x:v>B</x:v>
      </x:c>
      <x:c r="H43" s="7" t="str">
        <x:v>U06</x:v>
      </x:c>
      <x:c r="I43" s="7" t="str">
        <x:v>BAT-B-01</x:v>
      </x:c>
      <x:c r="J43" s="7" t="n">
        <x:v>18</x:v>
      </x:c>
      <x:c r="K43" s="7" t="str">
        <x:v>Q3-T-014</x:v>
      </x:c>
    </x:row>
    <x:row r="44" ht="23" customHeight="1">
      <x:c r="A44" s="2" t="str">
        <x:v>S009-FOD-01</x:v>
      </x:c>
      <x:c r="B44" s="2" t="str">
        <x:v>S009</x:v>
      </x:c>
      <x:c r="C44" s="12" t="n">
        <x:v>4428.70868276</x:v>
      </x:c>
      <x:c r="D44" s="12" t="n">
        <x:v>14400</x:v>
      </x:c>
      <x:c r="E44" s="12"/>
      <x:c r="F44" s="12" t="n">
        <x:v>6</x:v>
      </x:c>
      <x:c r="G44" s="2" t="str">
        <x:v>B</x:v>
      </x:c>
      <x:c r="H44" s="2" t="str">
        <x:v>U05</x:v>
      </x:c>
      <x:c r="I44" s="2" t="str">
        <x:v>BAT-B-02</x:v>
      </x:c>
      <x:c r="J44" s="2" t="n">
        <x:v>12</x:v>
      </x:c>
      <x:c r="K44" s="2" t="str">
        <x:v>Q3-T-015</x:v>
      </x:c>
    </x:row>
    <x:row r="45" ht="23" customHeight="1">
      <x:c r="A45" s="7" t="str">
        <x:v>S009-MED-01</x:v>
      </x:c>
      <x:c r="B45" s="7" t="str">
        <x:v>S009</x:v>
      </x:c>
      <x:c r="C45" s="13" t="n">
        <x:v>4428.70868276</x:v>
      </x:c>
      <x:c r="D45" s="13" t="n">
        <x:v>10800</x:v>
      </x:c>
      <x:c r="E45" s="13" t="n">
        <x:v>10800</x:v>
      </x:c>
      <x:c r="F45" s="13" t="n">
        <x:v>16</x:v>
      </x:c>
      <x:c r="G45" s="7" t="str">
        <x:v>B</x:v>
      </x:c>
      <x:c r="H45" s="7" t="str">
        <x:v>U05</x:v>
      </x:c>
      <x:c r="I45" s="7" t="str">
        <x:v>BAT-B-02</x:v>
      </x:c>
      <x:c r="J45" s="7" t="n">
        <x:v>12</x:v>
      </x:c>
      <x:c r="K45" s="7" t="str">
        <x:v>Q3-T-015</x:v>
      </x:c>
    </x:row>
    <x:row r="46" ht="23" customHeight="1">
      <x:c r="A46" s="2" t="str">
        <x:v>S009-WAT-01</x:v>
      </x:c>
      <x:c r="B46" s="2" t="str">
        <x:v>S009</x:v>
      </x:c>
      <x:c r="C46" s="12" t="n">
        <x:v>4428.70868276</x:v>
      </x:c>
      <x:c r="D46" s="12" t="n">
        <x:v>10800</x:v>
      </x:c>
      <x:c r="E46" s="12" t="n">
        <x:v>10800</x:v>
      </x:c>
      <x:c r="F46" s="12" t="n">
        <x:v>8</x:v>
      </x:c>
      <x:c r="G46" s="2" t="str">
        <x:v>B</x:v>
      </x:c>
      <x:c r="H46" s="2" t="str">
        <x:v>U05</x:v>
      </x:c>
      <x:c r="I46" s="2" t="str">
        <x:v>BAT-B-02</x:v>
      </x:c>
      <x:c r="J46" s="2" t="n">
        <x:v>12</x:v>
      </x:c>
      <x:c r="K46" s="2" t="str">
        <x:v>Q3-T-015</x:v>
      </x:c>
    </x:row>
    <x:row r="47" ht="23" customHeight="1">
      <x:c r="A47" s="7" t="str">
        <x:v>S011-FOD-01</x:v>
      </x:c>
      <x:c r="B47" s="7" t="str">
        <x:v>S011</x:v>
      </x:c>
      <x:c r="C47" s="13" t="n">
        <x:v>5658.4624688</x:v>
      </x:c>
      <x:c r="D47" s="13" t="n">
        <x:v>14400</x:v>
      </x:c>
      <x:c r="E47" s="13"/>
      <x:c r="F47" s="13" t="n">
        <x:v>6</x:v>
      </x:c>
      <x:c r="G47" s="7" t="str">
        <x:v>B</x:v>
      </x:c>
      <x:c r="H47" s="7" t="str">
        <x:v>U06</x:v>
      </x:c>
      <x:c r="I47" s="7" t="str">
        <x:v>BAT-B-03</x:v>
      </x:c>
      <x:c r="J47" s="7" t="n">
        <x:v>15</x:v>
      </x:c>
      <x:c r="K47" s="7" t="str">
        <x:v>Q3-T-017</x:v>
      </x:c>
    </x:row>
    <x:row r="48" ht="23" customHeight="1">
      <x:c r="A48" s="2" t="str">
        <x:v>S011-MED-01</x:v>
      </x:c>
      <x:c r="B48" s="2" t="str">
        <x:v>S011</x:v>
      </x:c>
      <x:c r="C48" s="12" t="n">
        <x:v>5658.4624688</x:v>
      </x:c>
      <x:c r="D48" s="12" t="n">
        <x:v>10800</x:v>
      </x:c>
      <x:c r="E48" s="12" t="n">
        <x:v>10800</x:v>
      </x:c>
      <x:c r="F48" s="12" t="n">
        <x:v>16</x:v>
      </x:c>
      <x:c r="G48" s="2" t="str">
        <x:v>B</x:v>
      </x:c>
      <x:c r="H48" s="2" t="str">
        <x:v>U06</x:v>
      </x:c>
      <x:c r="I48" s="2" t="str">
        <x:v>BAT-B-03</x:v>
      </x:c>
      <x:c r="J48" s="2" t="n">
        <x:v>15</x:v>
      </x:c>
      <x:c r="K48" s="2" t="str">
        <x:v>Q3-T-017</x:v>
      </x:c>
    </x:row>
    <x:row r="49" ht="23" customHeight="1">
      <x:c r="A49" s="7" t="str">
        <x:v>S011-WAT-01</x:v>
      </x:c>
      <x:c r="B49" s="7" t="str">
        <x:v>S011</x:v>
      </x:c>
      <x:c r="C49" s="13" t="n">
        <x:v>5658.4624688</x:v>
      </x:c>
      <x:c r="D49" s="13" t="n">
        <x:v>10800</x:v>
      </x:c>
      <x:c r="E49" s="13" t="n">
        <x:v>10800</x:v>
      </x:c>
      <x:c r="F49" s="13" t="n">
        <x:v>8</x:v>
      </x:c>
      <x:c r="G49" s="7" t="str">
        <x:v>B</x:v>
      </x:c>
      <x:c r="H49" s="7" t="str">
        <x:v>U06</x:v>
      </x:c>
      <x:c r="I49" s="7" t="str">
        <x:v>BAT-B-03</x:v>
      </x:c>
      <x:c r="J49" s="7" t="n">
        <x:v>15</x:v>
      </x:c>
      <x:c r="K49" s="7" t="str">
        <x:v>Q3-T-017</x:v>
      </x:c>
    </x:row>
    <x:row r="50" ht="23" customHeight="1">
      <x:c r="A50" s="2" t="str">
        <x:v>S008-FOD-01</x:v>
      </x:c>
      <x:c r="B50" s="2" t="str">
        <x:v>S008</x:v>
      </x:c>
      <x:c r="C50" s="12" t="n">
        <x:v>5742.56009882</x:v>
      </x:c>
      <x:c r="D50" s="12" t="n">
        <x:v>10800</x:v>
      </x:c>
      <x:c r="E50" s="12"/>
      <x:c r="F50" s="12" t="n">
        <x:v>8</x:v>
      </x:c>
      <x:c r="G50" s="2" t="str">
        <x:v>C</x:v>
      </x:c>
      <x:c r="H50" s="2" t="str">
        <x:v>U08</x:v>
      </x:c>
      <x:c r="I50" s="2" t="str">
        <x:v>BAT-C-02</x:v>
      </x:c>
      <x:c r="J50" s="2" t="n">
        <x:v>11</x:v>
      </x:c>
      <x:c r="K50" s="2" t="str">
        <x:v>Q3-T-016</x:v>
      </x:c>
    </x:row>
    <x:row r="51" ht="23" customHeight="1">
      <x:c r="A51" s="7" t="str">
        <x:v>S008-HYG-01</x:v>
      </x:c>
      <x:c r="B51" s="7" t="str">
        <x:v>S008</x:v>
      </x:c>
      <x:c r="C51" s="13" t="n">
        <x:v>5742.56009882</x:v>
      </x:c>
      <x:c r="D51" s="13" t="n">
        <x:v>14400</x:v>
      </x:c>
      <x:c r="E51" s="13"/>
      <x:c r="F51" s="13" t="n">
        <x:v>6</x:v>
      </x:c>
      <x:c r="G51" s="7" t="str">
        <x:v>C</x:v>
      </x:c>
      <x:c r="H51" s="7" t="str">
        <x:v>U08</x:v>
      </x:c>
      <x:c r="I51" s="7" t="str">
        <x:v>BAT-C-02</x:v>
      </x:c>
      <x:c r="J51" s="7" t="n">
        <x:v>11</x:v>
      </x:c>
      <x:c r="K51" s="7" t="str">
        <x:v>Q3-T-016</x:v>
      </x:c>
    </x:row>
    <x:row r="52" ht="23" customHeight="1">
      <x:c r="A52" s="2" t="str">
        <x:v>S008-MED-01</x:v>
      </x:c>
      <x:c r="B52" s="2" t="str">
        <x:v>S008</x:v>
      </x:c>
      <x:c r="C52" s="12" t="n">
        <x:v>5742.56009882</x:v>
      </x:c>
      <x:c r="D52" s="12" t="n">
        <x:v>7200</x:v>
      </x:c>
      <x:c r="E52" s="12" t="n">
        <x:v>7200</x:v>
      </x:c>
      <x:c r="F52" s="12" t="n">
        <x:v>20</x:v>
      </x:c>
      <x:c r="G52" s="2" t="str">
        <x:v>C</x:v>
      </x:c>
      <x:c r="H52" s="2" t="str">
        <x:v>U08</x:v>
      </x:c>
      <x:c r="I52" s="2" t="str">
        <x:v>BAT-C-02</x:v>
      </x:c>
      <x:c r="J52" s="2" t="n">
        <x:v>11</x:v>
      </x:c>
      <x:c r="K52" s="2" t="str">
        <x:v>Q3-T-016</x:v>
      </x:c>
    </x:row>
    <x:row r="53" ht="23" customHeight="1">
      <x:c r="A53" s="7" t="str">
        <x:v>S008-WAT-01</x:v>
      </x:c>
      <x:c r="B53" s="7" t="str">
        <x:v>S008</x:v>
      </x:c>
      <x:c r="C53" s="13" t="n">
        <x:v>5742.56009882</x:v>
      </x:c>
      <x:c r="D53" s="13" t="n">
        <x:v>7200</x:v>
      </x:c>
      <x:c r="E53" s="13" t="n">
        <x:v>7200</x:v>
      </x:c>
      <x:c r="F53" s="13" t="n">
        <x:v>10</x:v>
      </x:c>
      <x:c r="G53" s="7" t="str">
        <x:v>C</x:v>
      </x:c>
      <x:c r="H53" s="7" t="str">
        <x:v>U08</x:v>
      </x:c>
      <x:c r="I53" s="7" t="str">
        <x:v>BAT-C-02</x:v>
      </x:c>
      <x:c r="J53" s="7" t="n">
        <x:v>11</x:v>
      </x:c>
      <x:c r="K53" s="7" t="str">
        <x:v>Q3-T-016</x:v>
      </x:c>
    </x:row>
    <x:row r="54" ht="23" customHeight="1">
      <x:c r="A54" s="2" t="str">
        <x:v>S008-WAT-02</x:v>
      </x:c>
      <x:c r="B54" s="2" t="str">
        <x:v>S008</x:v>
      </x:c>
      <x:c r="C54" s="12" t="n">
        <x:v>5742.56009882</x:v>
      </x:c>
      <x:c r="D54" s="12" t="n">
        <x:v>7200</x:v>
      </x:c>
      <x:c r="E54" s="12"/>
      <x:c r="F54" s="12" t="n">
        <x:v>10</x:v>
      </x:c>
      <x:c r="G54" s="2" t="str">
        <x:v>C</x:v>
      </x:c>
      <x:c r="H54" s="2" t="str">
        <x:v>U08</x:v>
      </x:c>
      <x:c r="I54" s="2" t="str">
        <x:v>BAT-C-02</x:v>
      </x:c>
      <x:c r="J54" s="2" t="n">
        <x:v>11</x:v>
      </x:c>
      <x:c r="K54" s="2" t="str">
        <x:v>Q3-T-016</x:v>
      </x:c>
    </x:row>
    <x:row r="55" ht="23" customHeight="1">
      <x:c r="A55" s="7" t="str">
        <x:v>S005-FOD-01</x:v>
      </x:c>
      <x:c r="B55" s="7" t="str">
        <x:v>S005</x:v>
      </x:c>
      <x:c r="C55" s="13" t="n">
        <x:v>7364.34299819</x:v>
      </x:c>
      <x:c r="D55" s="13" t="n">
        <x:v>14400</x:v>
      </x:c>
      <x:c r="E55" s="13"/>
      <x:c r="F55" s="13" t="n">
        <x:v>6</x:v>
      </x:c>
      <x:c r="G55" s="7" t="str">
        <x:v>C</x:v>
      </x:c>
      <x:c r="H55" s="7" t="str">
        <x:v>U07</x:v>
      </x:c>
      <x:c r="I55" s="7" t="str">
        <x:v>BAT-C-01</x:v>
      </x:c>
      <x:c r="J55" s="7" t="n">
        <x:v>8</x:v>
      </x:c>
      <x:c r="K55" s="7" t="str">
        <x:v>Q3-T-018</x:v>
      </x:c>
    </x:row>
    <x:row r="56" ht="23" customHeight="1">
      <x:c r="A56" s="2" t="str">
        <x:v>S005-HYG-01</x:v>
      </x:c>
      <x:c r="B56" s="2" t="str">
        <x:v>S005</x:v>
      </x:c>
      <x:c r="C56" s="12" t="n">
        <x:v>7364.34299819</x:v>
      </x:c>
      <x:c r="D56" s="12" t="n">
        <x:v>18000</x:v>
      </x:c>
      <x:c r="E56" s="12"/>
      <x:c r="F56" s="12" t="n">
        <x:v>4</x:v>
      </x:c>
      <x:c r="G56" s="2" t="str">
        <x:v>C</x:v>
      </x:c>
      <x:c r="H56" s="2" t="str">
        <x:v>U07</x:v>
      </x:c>
      <x:c r="I56" s="2" t="str">
        <x:v>BAT-C-01</x:v>
      </x:c>
      <x:c r="J56" s="2" t="n">
        <x:v>8</x:v>
      </x:c>
      <x:c r="K56" s="2" t="str">
        <x:v>Q3-T-018</x:v>
      </x:c>
    </x:row>
    <x:row r="57" ht="23" customHeight="1">
      <x:c r="A57" s="7" t="str">
        <x:v>S005-MED-01</x:v>
      </x:c>
      <x:c r="B57" s="7" t="str">
        <x:v>S005</x:v>
      </x:c>
      <x:c r="C57" s="13" t="n">
        <x:v>7364.34299819</x:v>
      </x:c>
      <x:c r="D57" s="13" t="n">
        <x:v>10800</x:v>
      </x:c>
      <x:c r="E57" s="13" t="n">
        <x:v>10800</x:v>
      </x:c>
      <x:c r="F57" s="13" t="n">
        <x:v>16</x:v>
      </x:c>
      <x:c r="G57" s="7" t="str">
        <x:v>C</x:v>
      </x:c>
      <x:c r="H57" s="7" t="str">
        <x:v>U07</x:v>
      </x:c>
      <x:c r="I57" s="7" t="str">
        <x:v>BAT-C-01</x:v>
      </x:c>
      <x:c r="J57" s="7" t="n">
        <x:v>8</x:v>
      </x:c>
      <x:c r="K57" s="7" t="str">
        <x:v>Q3-T-018</x:v>
      </x:c>
    </x:row>
    <x:row r="58" ht="23" customHeight="1">
      <x:c r="A58" s="2" t="str">
        <x:v>S005-WAT-01</x:v>
      </x:c>
      <x:c r="B58" s="2" t="str">
        <x:v>S005</x:v>
      </x:c>
      <x:c r="C58" s="12" t="n">
        <x:v>7364.34299819</x:v>
      </x:c>
      <x:c r="D58" s="12" t="n">
        <x:v>10800</x:v>
      </x:c>
      <x:c r="E58" s="12" t="n">
        <x:v>10800</x:v>
      </x:c>
      <x:c r="F58" s="12" t="n">
        <x:v>8</x:v>
      </x:c>
      <x:c r="G58" s="2" t="str">
        <x:v>C</x:v>
      </x:c>
      <x:c r="H58" s="2" t="str">
        <x:v>U07</x:v>
      </x:c>
      <x:c r="I58" s="2" t="str">
        <x:v>BAT-C-01</x:v>
      </x:c>
      <x:c r="J58" s="2" t="n">
        <x:v>8</x:v>
      </x:c>
      <x:c r="K58" s="2" t="str">
        <x:v>Q3-T-018</x:v>
      </x:c>
    </x:row>
    <x:row r="59" ht="23" customHeight="1">
      <x:c r="A59" s="7" t="str">
        <x:v>S005-WAT-02</x:v>
      </x:c>
      <x:c r="B59" s="7" t="str">
        <x:v>S005</x:v>
      </x:c>
      <x:c r="C59" s="13" t="n">
        <x:v>7364.34299819</x:v>
      </x:c>
      <x:c r="D59" s="13" t="n">
        <x:v>10800</x:v>
      </x:c>
      <x:c r="E59" s="13"/>
      <x:c r="F59" s="13" t="n">
        <x:v>8</x:v>
      </x:c>
      <x:c r="G59" s="7" t="str">
        <x:v>C</x:v>
      </x:c>
      <x:c r="H59" s="7" t="str">
        <x:v>U07</x:v>
      </x:c>
      <x:c r="I59" s="7" t="str">
        <x:v>BAT-C-01</x:v>
      </x:c>
      <x:c r="J59" s="7" t="n">
        <x:v>8</x:v>
      </x:c>
      <x:c r="K59" s="7" t="str">
        <x:v>Q3-T-018</x:v>
      </x:c>
    </x:row>
    <x:row r="60" ht="23" customHeight="1">
      <x:c r="A60" s="2" t="str">
        <x:v>S005-WAT-03</x:v>
      </x:c>
      <x:c r="B60" s="2" t="str">
        <x:v>S005</x:v>
      </x:c>
      <x:c r="C60" s="12" t="n">
        <x:v>7364.34299819</x:v>
      </x:c>
      <x:c r="D60" s="12" t="n">
        <x:v>10800</x:v>
      </x:c>
      <x:c r="E60" s="12"/>
      <x:c r="F60" s="12" t="n">
        <x:v>8</x:v>
      </x:c>
      <x:c r="G60" s="2" t="str">
        <x:v>C</x:v>
      </x:c>
      <x:c r="H60" s="2" t="str">
        <x:v>U07</x:v>
      </x:c>
      <x:c r="I60" s="2" t="str">
        <x:v>BAT-C-01</x:v>
      </x:c>
      <x:c r="J60" s="2" t="n">
        <x:v>8</x:v>
      </x:c>
      <x:c r="K60" s="2" t="str">
        <x:v>Q3-T-018</x:v>
      </x:c>
    </x:row>
    <x:row r="61" ht="23" customHeight="1">
      <x:c r="A61" s="7" t="str">
        <x:v>S003-FOD-02</x:v>
      </x:c>
      <x:c r="B61" s="7" t="str">
        <x:v>S003</x:v>
      </x:c>
      <x:c r="C61" s="13" t="n">
        <x:v>6485.6253967</x:v>
      </x:c>
      <x:c r="D61" s="13" t="n">
        <x:v>10800</x:v>
      </x:c>
      <x:c r="E61" s="13"/>
      <x:c r="F61" s="13" t="n">
        <x:v>8</x:v>
      </x:c>
      <x:c r="G61" s="7" t="str">
        <x:v>B</x:v>
      </x:c>
      <x:c r="H61" s="7" t="str">
        <x:v>U05</x:v>
      </x:c>
      <x:c r="I61" s="7" t="str">
        <x:v>BAT-B-04</x:v>
      </x:c>
      <x:c r="J61" s="7" t="n">
        <x:v>6</x:v>
      </x:c>
      <x:c r="K61" s="7" t="str">
        <x:v>Q3-T-019</x:v>
      </x:c>
    </x:row>
    <x:row r="62" ht="23" customHeight="1">
      <x:c r="A62" s="2" t="str">
        <x:v>S003-HYG-01</x:v>
      </x:c>
      <x:c r="B62" s="2" t="str">
        <x:v>S003</x:v>
      </x:c>
      <x:c r="C62" s="12" t="n">
        <x:v>6485.6253967</x:v>
      </x:c>
      <x:c r="D62" s="12" t="n">
        <x:v>14400</x:v>
      </x:c>
      <x:c r="E62" s="12"/>
      <x:c r="F62" s="12" t="n">
        <x:v>6</x:v>
      </x:c>
      <x:c r="G62" s="2" t="str">
        <x:v>B</x:v>
      </x:c>
      <x:c r="H62" s="2" t="str">
        <x:v>U05</x:v>
      </x:c>
      <x:c r="I62" s="2" t="str">
        <x:v>BAT-B-04</x:v>
      </x:c>
      <x:c r="J62" s="2" t="n">
        <x:v>6</x:v>
      </x:c>
      <x:c r="K62" s="2" t="str">
        <x:v>Q3-T-019</x:v>
      </x:c>
    </x:row>
    <x:row r="63" ht="23" customHeight="1">
      <x:c r="A63" s="7" t="str">
        <x:v>S001-FOD-01</x:v>
      </x:c>
      <x:c r="B63" s="7" t="str">
        <x:v>S001</x:v>
      </x:c>
      <x:c r="C63" s="13" t="n">
        <x:v>9050.57487892</x:v>
      </x:c>
      <x:c r="D63" s="13" t="n">
        <x:v>7200</x:v>
      </x:c>
      <x:c r="E63" s="13"/>
      <x:c r="F63" s="13" t="n">
        <x:v>10</x:v>
      </x:c>
      <x:c r="G63" s="7" t="str">
        <x:v>C</x:v>
      </x:c>
      <x:c r="H63" s="7" t="str">
        <x:v>U07</x:v>
      </x:c>
      <x:c r="I63" s="7" t="str">
        <x:v>BAT-C-03</x:v>
      </x:c>
      <x:c r="J63" s="7" t="n">
        <x:v>1</x:v>
      </x:c>
      <x:c r="K63" s="7" t="str">
        <x:v>Q3-T-020</x:v>
      </x:c>
    </x:row>
    <x:row r="64" ht="23" customHeight="1">
      <x:c r="A64" s="2" t="str">
        <x:v>S001-WAT-02</x:v>
      </x:c>
      <x:c r="B64" s="2" t="str">
        <x:v>S001</x:v>
      </x:c>
      <x:c r="C64" s="12" t="n">
        <x:v>9050.57487892</x:v>
      </x:c>
      <x:c r="D64" s="12" t="n">
        <x:v>3600</x:v>
      </x:c>
      <x:c r="E64" s="12"/>
      <x:c r="F64" s="12" t="n">
        <x:v>12</x:v>
      </x:c>
      <x:c r="G64" s="2" t="str">
        <x:v>C</x:v>
      </x:c>
      <x:c r="H64" s="2" t="str">
        <x:v>U07</x:v>
      </x:c>
      <x:c r="I64" s="2" t="str">
        <x:v>BAT-C-03</x:v>
      </x:c>
      <x:c r="J64" s="2" t="n">
        <x:v>1</x:v>
      </x:c>
      <x:c r="K64" s="2" t="str">
        <x:v>Q3-T-020</x:v>
      </x:c>
    </x:row>
    <x:row r="65" ht="23" customHeight="1">
      <x:c r="A65" s="7" t="str">
        <x:v>S001-WAT-03</x:v>
      </x:c>
      <x:c r="B65" s="7" t="str">
        <x:v>S001</x:v>
      </x:c>
      <x:c r="C65" s="13" t="n">
        <x:v>9050.57487892</x:v>
      </x:c>
      <x:c r="D65" s="13" t="n">
        <x:v>3600</x:v>
      </x:c>
      <x:c r="E65" s="13"/>
      <x:c r="F65" s="13" t="n">
        <x:v>12</x:v>
      </x:c>
      <x:c r="G65" s="7" t="str">
        <x:v>C</x:v>
      </x:c>
      <x:c r="H65" s="7" t="str">
        <x:v>U07</x:v>
      </x:c>
      <x:c r="I65" s="7" t="str">
        <x:v>BAT-C-03</x:v>
      </x:c>
      <x:c r="J65" s="7" t="n">
        <x:v>1</x:v>
      </x:c>
      <x:c r="K65" s="7" t="str">
        <x:v>Q3-T-020</x:v>
      </x:c>
    </x:row>
    <x:row r="66" ht="23" customHeight="1">
      <x:c r="A66" s="2" t="str">
        <x:v>S001-WAT-04</x:v>
      </x:c>
      <x:c r="B66" s="2" t="str">
        <x:v>S001</x:v>
      </x:c>
      <x:c r="C66" s="12" t="n">
        <x:v>9050.57487892</x:v>
      </x:c>
      <x:c r="D66" s="12" t="n">
        <x:v>3600</x:v>
      </x:c>
      <x:c r="E66" s="12"/>
      <x:c r="F66" s="12" t="n">
        <x:v>12</x:v>
      </x:c>
      <x:c r="G66" s="2" t="str">
        <x:v>C</x:v>
      </x:c>
      <x:c r="H66" s="2" t="str">
        <x:v>U07</x:v>
      </x:c>
      <x:c r="I66" s="2" t="str">
        <x:v>BAT-C-03</x:v>
      </x:c>
      <x:c r="J66" s="2" t="n">
        <x:v>1</x:v>
      </x:c>
      <x:c r="K66" s="2" t="str">
        <x:v>Q3-T-020</x:v>
      </x:c>
    </x:row>
    <x:row r="67" ht="23" customHeight="1">
      <x:c r="A67" s="7" t="str">
        <x:v>S001-WAT-05</x:v>
      </x:c>
      <x:c r="B67" s="7" t="str">
        <x:v>S001</x:v>
      </x:c>
      <x:c r="C67" s="13" t="n">
        <x:v>9050.57487892</x:v>
      </x:c>
      <x:c r="D67" s="13" t="n">
        <x:v>3600</x:v>
      </x:c>
      <x:c r="E67" s="13"/>
      <x:c r="F67" s="13" t="n">
        <x:v>12</x:v>
      </x:c>
      <x:c r="G67" s="7" t="str">
        <x:v>C</x:v>
      </x:c>
      <x:c r="H67" s="7" t="str">
        <x:v>U07</x:v>
      </x:c>
      <x:c r="I67" s="7" t="str">
        <x:v>BAT-C-03</x:v>
      </x:c>
      <x:c r="J67" s="7" t="n">
        <x:v>1</x:v>
      </x:c>
      <x:c r="K67" s="7" t="str">
        <x:v>Q3-T-020</x:v>
      </x:c>
    </x:row>
    <x:row r="68" ht="23" customHeight="1">
      <x:c r="A68" s="2" t="str">
        <x:v>S001-WAT-06</x:v>
      </x:c>
      <x:c r="B68" s="2" t="str">
        <x:v>S001</x:v>
      </x:c>
      <x:c r="C68" s="12" t="n">
        <x:v>9050.57487892</x:v>
      </x:c>
      <x:c r="D68" s="12" t="n">
        <x:v>3600</x:v>
      </x:c>
      <x:c r="E68" s="12"/>
      <x:c r="F68" s="12" t="n">
        <x:v>12</x:v>
      </x:c>
      <x:c r="G68" s="2" t="str">
        <x:v>C</x:v>
      </x:c>
      <x:c r="H68" s="2" t="str">
        <x:v>U07</x:v>
      </x:c>
      <x:c r="I68" s="2" t="str">
        <x:v>BAT-C-03</x:v>
      </x:c>
      <x:c r="J68" s="2" t="n">
        <x:v>1</x:v>
      </x:c>
      <x:c r="K68" s="2" t="str">
        <x:v>Q3-T-020</x:v>
      </x:c>
    </x:row>
    <x:row r="69" ht="23" customHeight="1">
      <x:c r="A69" s="7" t="str">
        <x:v>S006-FOD-01</x:v>
      </x:c>
      <x:c r="B69" s="7" t="str">
        <x:v>S006</x:v>
      </x:c>
      <x:c r="C69" s="13" t="n">
        <x:v>9658.26790426</x:v>
      </x:c>
      <x:c r="D69" s="13" t="n">
        <x:v>7200</x:v>
      </x:c>
      <x:c r="E69" s="13"/>
      <x:c r="F69" s="13" t="n">
        <x:v>10</x:v>
      </x:c>
      <x:c r="G69" s="7" t="str">
        <x:v>C</x:v>
      </x:c>
      <x:c r="H69" s="7" t="str">
        <x:v>U08</x:v>
      </x:c>
      <x:c r="I69" s="7" t="str">
        <x:v>BAT-C-04</x:v>
      </x:c>
      <x:c r="J69" s="7" t="n">
        <x:v>19</x:v>
      </x:c>
      <x:c r="K69" s="7" t="str">
        <x:v>Q3-T-021</x:v>
      </x:c>
    </x:row>
    <x:row r="70" ht="23" customHeight="1">
      <x:c r="A70" s="2" t="str">
        <x:v>S006-HYG-01</x:v>
      </x:c>
      <x:c r="B70" s="2" t="str">
        <x:v>S006</x:v>
      </x:c>
      <x:c r="C70" s="12" t="n">
        <x:v>9658.26790426</x:v>
      </x:c>
      <x:c r="D70" s="12" t="n">
        <x:v>10800</x:v>
      </x:c>
      <x:c r="E70" s="12"/>
      <x:c r="F70" s="12" t="n">
        <x:v>8</x:v>
      </x:c>
      <x:c r="G70" s="2" t="str">
        <x:v>C</x:v>
      </x:c>
      <x:c r="H70" s="2" t="str">
        <x:v>U08</x:v>
      </x:c>
      <x:c r="I70" s="2" t="str">
        <x:v>BAT-C-04</x:v>
      </x:c>
      <x:c r="J70" s="2" t="n">
        <x:v>19</x:v>
      </x:c>
      <x:c r="K70" s="2" t="str">
        <x:v>Q3-T-021</x:v>
      </x:c>
    </x:row>
    <x:row r="71" ht="23" customHeight="1">
      <x:c r="A71" s="7" t="str">
        <x:v>S006-WAT-02</x:v>
      </x:c>
      <x:c r="B71" s="7" t="str">
        <x:v>S006</x:v>
      </x:c>
      <x:c r="C71" s="13" t="n">
        <x:v>9658.26790426</x:v>
      </x:c>
      <x:c r="D71" s="13" t="n">
        <x:v>3600</x:v>
      </x:c>
      <x:c r="E71" s="13"/>
      <x:c r="F71" s="13" t="n">
        <x:v>12</x:v>
      </x:c>
      <x:c r="G71" s="7" t="str">
        <x:v>C</x:v>
      </x:c>
      <x:c r="H71" s="7" t="str">
        <x:v>U08</x:v>
      </x:c>
      <x:c r="I71" s="7" t="str">
        <x:v>BAT-C-04</x:v>
      </x:c>
      <x:c r="J71" s="7" t="n">
        <x:v>19</x:v>
      </x:c>
      <x:c r="K71" s="7" t="str">
        <x:v>Q3-T-021</x:v>
      </x:c>
    </x:row>
    <x:row r="72" ht="23" customHeight="1">
      <x:c r="A72" s="2" t="str">
        <x:v>S006-WAT-03</x:v>
      </x:c>
      <x:c r="B72" s="2" t="str">
        <x:v>S006</x:v>
      </x:c>
      <x:c r="C72" s="12" t="n">
        <x:v>9658.26790426</x:v>
      </x:c>
      <x:c r="D72" s="12" t="n">
        <x:v>3600</x:v>
      </x:c>
      <x:c r="E72" s="12"/>
      <x:c r="F72" s="12" t="n">
        <x:v>12</x:v>
      </x:c>
      <x:c r="G72" s="2" t="str">
        <x:v>C</x:v>
      </x:c>
      <x:c r="H72" s="2" t="str">
        <x:v>U08</x:v>
      </x:c>
      <x:c r="I72" s="2" t="str">
        <x:v>BAT-C-04</x:v>
      </x:c>
      <x:c r="J72" s="2" t="n">
        <x:v>19</x:v>
      </x:c>
      <x:c r="K72" s="2" t="str">
        <x:v>Q3-T-021</x:v>
      </x:c>
    </x:row>
    <x:row r="73" ht="23" customHeight="1">
      <x:c r="A73" s="7" t="str">
        <x:v>S007-FOD-01</x:v>
      </x:c>
      <x:c r="B73" s="7" t="str">
        <x:v>S007</x:v>
      </x:c>
      <x:c r="C73" s="13" t="n">
        <x:v>10344.5866926</x:v>
      </x:c>
      <x:c r="D73" s="13" t="n">
        <x:v>7200</x:v>
      </x:c>
      <x:c r="E73" s="13"/>
      <x:c r="F73" s="13" t="n">
        <x:v>10</x:v>
      </x:c>
      <x:c r="G73" s="7" t="str">
        <x:v>C</x:v>
      </x:c>
      <x:c r="H73" s="7" t="str">
        <x:v>U08</x:v>
      </x:c>
      <x:c r="I73" s="7" t="str">
        <x:v>BAT-C-04</x:v>
      </x:c>
      <x:c r="J73" s="7" t="n">
        <x:v>19</x:v>
      </x:c>
      <x:c r="K73" s="7" t="str">
        <x:v>Q3-T-021</x:v>
      </x:c>
    </x:row>
    <x:row r="74" ht="23" customHeight="1">
      <x:c r="A74" s="2" t="str">
        <x:v>S007-HYG-01</x:v>
      </x:c>
      <x:c r="B74" s="2" t="str">
        <x:v>S007</x:v>
      </x:c>
      <x:c r="C74" s="12" t="n">
        <x:v>10344.5866926</x:v>
      </x:c>
      <x:c r="D74" s="12" t="n">
        <x:v>10800</x:v>
      </x:c>
      <x:c r="E74" s="12"/>
      <x:c r="F74" s="12" t="n">
        <x:v>8</x:v>
      </x:c>
      <x:c r="G74" s="2" t="str">
        <x:v>C</x:v>
      </x:c>
      <x:c r="H74" s="2" t="str">
        <x:v>U08</x:v>
      </x:c>
      <x:c r="I74" s="2" t="str">
        <x:v>BAT-C-04</x:v>
      </x:c>
      <x:c r="J74" s="2" t="n">
        <x:v>19</x:v>
      </x:c>
      <x:c r="K74" s="2" t="str">
        <x:v>Q3-T-021</x:v>
      </x:c>
    </x:row>
    <x:row r="75" ht="23" customHeight="1">
      <x:c r="A75" s="7" t="str">
        <x:v>S007-WAT-02</x:v>
      </x:c>
      <x:c r="B75" s="7" t="str">
        <x:v>S007</x:v>
      </x:c>
      <x:c r="C75" s="13" t="n">
        <x:v>10344.5866926</x:v>
      </x:c>
      <x:c r="D75" s="13" t="n">
        <x:v>3600</x:v>
      </x:c>
      <x:c r="E75" s="13"/>
      <x:c r="F75" s="13" t="n">
        <x:v>12</x:v>
      </x:c>
      <x:c r="G75" s="7" t="str">
        <x:v>C</x:v>
      </x:c>
      <x:c r="H75" s="7" t="str">
        <x:v>U08</x:v>
      </x:c>
      <x:c r="I75" s="7" t="str">
        <x:v>BAT-C-04</x:v>
      </x:c>
      <x:c r="J75" s="7" t="n">
        <x:v>19</x:v>
      </x:c>
      <x:c r="K75" s="7" t="str">
        <x:v>Q3-T-021</x:v>
      </x:c>
    </x:row>
    <x:row r="76" ht="23" customHeight="1">
      <x:c r="A76" s="2" t="str">
        <x:v>S001-FOD-02</x:v>
      </x:c>
      <x:c r="B76" s="2" t="str">
        <x:v>S001</x:v>
      </x:c>
      <x:c r="C76" s="12" t="n">
        <x:v>11027.4037509</x:v>
      </x:c>
      <x:c r="D76" s="12" t="n">
        <x:v>7200</x:v>
      </x:c>
      <x:c r="E76" s="12"/>
      <x:c r="F76" s="12" t="n">
        <x:v>10</x:v>
      </x:c>
      <x:c r="G76" s="2" t="str">
        <x:v>C</x:v>
      </x:c>
      <x:c r="H76" s="2" t="str">
        <x:v>U07</x:v>
      </x:c>
      <x:c r="I76" s="2" t="str">
        <x:v>BAT-C-01</x:v>
      </x:c>
      <x:c r="J76" s="2" t="n">
        <x:v>2</x:v>
      </x:c>
      <x:c r="K76" s="2" t="str">
        <x:v>Q3-T-022</x:v>
      </x:c>
    </x:row>
    <x:row r="77" ht="23" customHeight="1">
      <x:c r="A77" s="7" t="str">
        <x:v>S001-FOD-03</x:v>
      </x:c>
      <x:c r="B77" s="7" t="str">
        <x:v>S001</x:v>
      </x:c>
      <x:c r="C77" s="13" t="n">
        <x:v>11027.4037509</x:v>
      </x:c>
      <x:c r="D77" s="13" t="n">
        <x:v>7200</x:v>
      </x:c>
      <x:c r="E77" s="13"/>
      <x:c r="F77" s="13" t="n">
        <x:v>10</x:v>
      </x:c>
      <x:c r="G77" s="7" t="str">
        <x:v>C</x:v>
      </x:c>
      <x:c r="H77" s="7" t="str">
        <x:v>U07</x:v>
      </x:c>
      <x:c r="I77" s="7" t="str">
        <x:v>BAT-C-01</x:v>
      </x:c>
      <x:c r="J77" s="7" t="n">
        <x:v>2</x:v>
      </x:c>
      <x:c r="K77" s="7" t="str">
        <x:v>Q3-T-022</x:v>
      </x:c>
    </x:row>
    <x:row r="78" ht="23" customHeight="1">
      <x:c r="A78" s="2" t="str">
        <x:v>S001-HYG-01</x:v>
      </x:c>
      <x:c r="B78" s="2" t="str">
        <x:v>S001</x:v>
      </x:c>
      <x:c r="C78" s="12" t="n">
        <x:v>11027.4037509</x:v>
      </x:c>
      <x:c r="D78" s="12" t="n">
        <x:v>10800</x:v>
      </x:c>
      <x:c r="E78" s="12"/>
      <x:c r="F78" s="12" t="n">
        <x:v>8</x:v>
      </x:c>
      <x:c r="G78" s="2" t="str">
        <x:v>C</x:v>
      </x:c>
      <x:c r="H78" s="2" t="str">
        <x:v>U07</x:v>
      </x:c>
      <x:c r="I78" s="2" t="str">
        <x:v>BAT-C-01</x:v>
      </x:c>
      <x:c r="J78" s="2" t="n">
        <x:v>2</x:v>
      </x:c>
      <x:c r="K78" s="2" t="str">
        <x:v>Q3-T-022</x:v>
      </x:c>
    </x:row>
    <x:row r="79" ht="23" customHeight="1">
      <x:c r="A79" s="7" t="str">
        <x:v>S001-HYG-02</x:v>
      </x:c>
      <x:c r="B79" s="7" t="str">
        <x:v>S001</x:v>
      </x:c>
      <x:c r="C79" s="13" t="n">
        <x:v>11027.4037509</x:v>
      </x:c>
      <x:c r="D79" s="13" t="n">
        <x:v>10800</x:v>
      </x:c>
      <x:c r="E79" s="13"/>
      <x:c r="F79" s="13" t="n">
        <x:v>8</x:v>
      </x:c>
      <x:c r="G79" s="7" t="str">
        <x:v>C</x:v>
      </x:c>
      <x:c r="H79" s="7" t="str">
        <x:v>U07</x:v>
      </x:c>
      <x:c r="I79" s="7" t="str">
        <x:v>BAT-C-01</x:v>
      </x:c>
      <x:c r="J79" s="7" t="n">
        <x:v>2</x:v>
      </x:c>
      <x:c r="K79" s="7" t="str">
        <x:v>Q3-T-022</x:v>
      </x:c>
    </x:row>
    <x:row r="80" ht="23" customHeight="1">
      <x:c r="A80" s="2" t="str">
        <x:v>S001-WAT-07</x:v>
      </x:c>
      <x:c r="B80" s="2" t="str">
        <x:v>S001</x:v>
      </x:c>
      <x:c r="C80" s="12" t="n">
        <x:v>11027.4037509</x:v>
      </x:c>
      <x:c r="D80" s="12" t="n">
        <x:v>3600</x:v>
      </x:c>
      <x:c r="E80" s="12"/>
      <x:c r="F80" s="12" t="n">
        <x:v>12</x:v>
      </x:c>
      <x:c r="G80" s="2" t="str">
        <x:v>C</x:v>
      </x:c>
      <x:c r="H80" s="2" t="str">
        <x:v>U07</x:v>
      </x:c>
      <x:c r="I80" s="2" t="str">
        <x:v>BAT-C-01</x:v>
      </x:c>
      <x:c r="J80" s="2" t="n">
        <x:v>2</x:v>
      </x:c>
      <x:c r="K80" s="2" t="str">
        <x:v>Q3-T-022</x:v>
      </x:c>
    </x:row>
    <x:row r="81" ht="23" customHeight="1">
      <x:c r="A81" s="7" t="str">
        <x:v>S001-WAT-08</x:v>
      </x:c>
      <x:c r="B81" s="7" t="str">
        <x:v>S001</x:v>
      </x:c>
      <x:c r="C81" s="13" t="n">
        <x:v>11027.4037509</x:v>
      </x:c>
      <x:c r="D81" s="13" t="n">
        <x:v>3600</x:v>
      </x:c>
      <x:c r="E81" s="13"/>
      <x:c r="F81" s="13" t="n">
        <x:v>12</x:v>
      </x:c>
      <x:c r="G81" s="7" t="str">
        <x:v>C</x:v>
      </x:c>
      <x:c r="H81" s="7" t="str">
        <x:v>U07</x:v>
      </x:c>
      <x:c r="I81" s="7" t="str">
        <x:v>BAT-C-01</x:v>
      </x:c>
      <x:c r="J81" s="7" t="n">
        <x:v>2</x:v>
      </x:c>
      <x:c r="K81" s="7" t="str">
        <x:v>Q3-T-022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BB5AE"/>
  </x:sheetPr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8" hidden="0" customWidth="1"/>
    <x:col min="4" max="4" width="15" hidden="0" customWidth="1"/>
    <x:col min="5" max="5" width="14" hidden="0" customWidth="1"/>
    <x:col min="6" max="6" width="14" hidden="0" customWidth="1"/>
    <x:col min="7" max="7" width="15" hidden="0" customWidth="1"/>
    <x:col min="8" max="8" width="17" hidden="0" customWidth="1"/>
    <x:col min="9" max="9" width="17" hidden="0" customWidth="1"/>
    <x:col min="10" max="10" width="16" hidden="0" customWidth="1"/>
    <x:col min="11" max="11" width="19" hidden="0" customWidth="1"/>
    <x:col min="12" max="12" width="19" hidden="0" customWidth="1"/>
    <x:col min="13" max="13" width="16" hidden="0" customWidth="1"/>
    <x:col min="14" max="14" width="18" hidden="0" customWidth="1"/>
    <x:col min="15" max="15" width="15" hidden="0" customWidth="1"/>
    <x:col min="16" max="16" width="21" hidden="0" customWidth="1"/>
    <x:col min="17" max="17" width="52" hidden="0" customWidth="1"/>
  </x:cols>
  <x:sheetData>
    <x:row r="1" ht="40" customHeight="1">
      <x:c r="A1" s="6" t="str">
        <x:v>relay_flight_id</x:v>
      </x:c>
      <x:c r="B1" s="6" t="str">
        <x:v>relay_id</x:v>
      </x:c>
      <x:c r="C1" s="6" t="str">
        <x:v>energy_id</x:v>
      </x:c>
      <x:c r="D1" s="6" t="str">
        <x:v>hover_site_id</x:v>
      </x:c>
      <x:c r="E1" s="6" t="str">
        <x:v>x_m</x:v>
      </x:c>
      <x:c r="F1" s="6" t="str">
        <x:v>y_m</x:v>
      </x:c>
      <x:c r="G1" s="6" t="str">
        <x:v>ground_m</x:v>
      </x:c>
      <x:c r="H1" s="6" t="str">
        <x:v>hover_agl_m</x:v>
      </x:c>
      <x:c r="I1" s="6" t="str">
        <x:v>flight_alt_m</x:v>
      </x:c>
      <x:c r="J1" s="6" t="str">
        <x:v>start_s</x:v>
      </x:c>
      <x:c r="K1" s="6" t="str">
        <x:v>service_start_s</x:v>
      </x:c>
      <x:c r="L1" s="6" t="str">
        <x:v>service_end_s</x:v>
      </x:c>
      <x:c r="M1" s="6" t="str">
        <x:v>return_s</x:v>
      </x:c>
      <x:c r="N1" s="6" t="str">
        <x:v>energy_kwh</x:v>
      </x:c>
      <x:c r="O1" s="6" t="str">
        <x:v>return_soc</x:v>
      </x:c>
      <x:c r="P1" s="6" t="str">
        <x:v>available_again_s</x:v>
      </x:c>
      <x:c r="Q1" s="6" t="str">
        <x:v>covered_transport_flights</x:v>
      </x:c>
    </x:row>
    <x:row r="2" ht="38" customHeight="1">
      <x:c r="A2" s="2" t="str">
        <x:v>Q3-R-001</x:v>
      </x:c>
      <x:c r="B2" s="2" t="str">
        <x:v>R01</x:v>
      </x:c>
      <x:c r="C2" s="2" t="str">
        <x:v>RE-R-01</x:v>
      </x:c>
      <x:c r="D2" s="2" t="str">
        <x:v>H170</x:v>
      </x:c>
      <x:c r="E2" s="8" t="n">
        <x:v>5383.577035</x:v>
      </x:c>
      <x:c r="F2" s="8" t="n">
        <x:v>2361.8787782</x:v>
      </x:c>
      <x:c r="G2" s="8" t="n">
        <x:v>405.633239746</x:v>
      </x:c>
      <x:c r="H2" s="8" t="n">
        <x:v>300</x:v>
      </x:c>
      <x:c r="I2" s="8" t="n">
        <x:v>705.633239746</x:v>
      </x:c>
      <x:c r="J2" s="8" t="n">
        <x:v>1</x:v>
      </x:c>
      <x:c r="K2" s="8" t="n">
        <x:v>747.409454083</x:v>
      </x:c>
      <x:c r="L2" s="8" t="n">
        <x:v>3024.30212399</x:v>
      </x:c>
      <x:c r="M2" s="8" t="n">
        <x:v>3608.87268139</x:v>
      </x:c>
      <x:c r="N2" s="8" t="n">
        <x:v>0.997498854516</x:v>
      </x:c>
      <x:c r="O2" s="8" t="n">
        <x:v>0.688281607964</x:v>
      </x:c>
      <x:c r="P2" s="8" t="n">
        <x:v>4514.10659103</x:v>
      </x:c>
      <x:c r="Q2" s="10" t="str">
        <x:v>Q3-T-002;Q3-T-003;Q3-T-004;Q3-T-007;Q3-T-008;Q3-T-009;Q3-T-010;Q3-T-011</x:v>
      </x:c>
    </x:row>
    <x:row r="3" ht="38" customHeight="1">
      <x:c r="A3" s="7" t="str">
        <x:v>Q3-R-002</x:v>
      </x:c>
      <x:c r="B3" s="7" t="str">
        <x:v>R02</x:v>
      </x:c>
      <x:c r="C3" s="7" t="str">
        <x:v>RE-R-02</x:v>
      </x:c>
      <x:c r="D3" s="7" t="str">
        <x:v>H161</x:v>
      </x:c>
      <x:c r="E3" s="9" t="n">
        <x:v>-3155.289984</x:v>
      </x:c>
      <x:c r="F3" s="9" t="n">
        <x:v>3627.5612352</x:v>
      </x:c>
      <x:c r="G3" s="9" t="n">
        <x:v>466.091491699</x:v>
      </x:c>
      <x:c r="H3" s="9" t="n">
        <x:v>225</x:v>
      </x:c>
      <x:c r="I3" s="9" t="n">
        <x:v>691.091491699</x:v>
      </x:c>
      <x:c r="J3" s="9" t="n">
        <x:v>146.631332823</x:v>
      </x:c>
      <x:c r="K3" s="9" t="n">
        <x:v>818</x:v>
      </x:c>
      <x:c r="L3" s="9" t="n">
        <x:v>1238</x:v>
      </x:c>
      <x:c r="M3" s="9" t="n">
        <x:v>1746.31795815</x:v>
      </x:c>
      <x:c r="N3" s="9" t="n">
        <x:v>0.383201982957</x:v>
      </x:c>
      <x:c r="O3" s="9" t="n">
        <x:v>0.880249380326</x:v>
      </x:c>
      <x:c r="P3" s="9" t="n">
        <x:v>2401.99376373</x:v>
      </x:c>
      <x:c r="Q3" s="11" t="str">
        <x:v>Q3-T-001</x:v>
      </x:c>
    </x:row>
    <x:row r="4" ht="38" customHeight="1">
      <x:c r="A4" s="2" t="str">
        <x:v>Q3-R-003</x:v>
      </x:c>
      <x:c r="B4" s="2" t="str">
        <x:v>R02</x:v>
      </x:c>
      <x:c r="C4" s="2" t="str">
        <x:v>RE-R-03</x:v>
      </x:c>
      <x:c r="D4" s="2" t="str">
        <x:v>H161</x:v>
      </x:c>
      <x:c r="E4" s="8" t="n">
        <x:v>-3155.289984</x:v>
      </x:c>
      <x:c r="F4" s="8" t="n">
        <x:v>3627.5612352</x:v>
      </x:c>
      <x:c r="G4" s="8" t="n">
        <x:v>466.091491699</x:v>
      </x:c>
      <x:c r="H4" s="8" t="n">
        <x:v>225</x:v>
      </x:c>
      <x:c r="I4" s="8" t="n">
        <x:v>691.091491699</x:v>
      </x:c>
      <x:c r="J4" s="8" t="n">
        <x:v>2047.31795815</x:v>
      </x:c>
      <x:c r="K4" s="8" t="n">
        <x:v>2718.68662533</x:v>
      </x:c>
      <x:c r="L4" s="8" t="n">
        <x:v>7511.11364043</x:v>
      </x:c>
      <x:c r="M4" s="8" t="n">
        <x:v>8019.43159858</x:v>
      </x:c>
      <x:c r="N4" s="8" t="n">
        <x:v>1.71922134868</x:v>
      </x:c>
      <x:c r="O4" s="8" t="n">
        <x:v>0.462743328537</x:v>
      </x:c>
      <x:c r="P4" s="8" t="n">
        <x:v>9217.86527148</x:v>
      </x:c>
      <x:c r="Q4" s="10" t="str">
        <x:v>Q3-T-012;Q3-T-014;Q3-T-015;Q3-T-016;Q3-T-018;Q3-T-019</x:v>
      </x:c>
    </x:row>
    <x:row r="5" ht="38" customHeight="1">
      <x:c r="A5" s="7" t="str">
        <x:v>Q3-R-004</x:v>
      </x:c>
      <x:c r="B5" s="7" t="str">
        <x:v>R01</x:v>
      </x:c>
      <x:c r="C5" s="7" t="str">
        <x:v>RE-R-02</x:v>
      </x:c>
      <x:c r="D5" s="7" t="str">
        <x:v>H039</x:v>
      </x:c>
      <x:c r="E5" s="9" t="n">
        <x:v>600.30972536</x:v>
      </x:c>
      <x:c r="F5" s="9" t="n">
        <x:v>6142.4806464</x:v>
      </x:c>
      <x:c r="G5" s="9" t="n">
        <x:v>318.646209717</x:v>
      </x:c>
      <x:c r="H5" s="9" t="n">
        <x:v>300</x:v>
      </x:c>
      <x:c r="I5" s="9" t="n">
        <x:v>618.646209717</x:v>
      </x:c>
      <x:c r="J5" s="9" t="n">
        <x:v>3909.87268139</x:v>
      </x:c>
      <x:c r="K5" s="9" t="n">
        <x:v>4654.05892162</x:v>
      </x:c>
      <x:c r="L5" s="9" t="n">
        <x:v>5480.05892162</x:v>
      </x:c>
      <x:c r="M5" s="9" t="n">
        <x:v>6055.15734599</x:v>
      </x:c>
      <x:c r="N5" s="9" t="n">
        <x:v>0.558909844796</x:v>
      </x:c>
      <x:c r="O5" s="9" t="n">
        <x:v>0.825340673501</x:v>
      </x:c>
      <x:c r="P5" s="9" t="n">
        <x:v>6782.21447044</x:v>
      </x:c>
      <x:c r="Q5" s="11" t="str">
        <x:v>Q3-T-013</x:v>
      </x:c>
    </x:row>
    <x:row r="6" ht="38" customHeight="1">
      <x:c r="A6" s="2" t="str">
        <x:v>Q3-R-005</x:v>
      </x:c>
      <x:c r="B6" s="2" t="str">
        <x:v>R02</x:v>
      </x:c>
      <x:c r="C6" s="2" t="str">
        <x:v>RE-R-02</x:v>
      </x:c>
      <x:c r="D6" s="2" t="str">
        <x:v>H161</x:v>
      </x:c>
      <x:c r="E6" s="8" t="n">
        <x:v>-3155.289984</x:v>
      </x:c>
      <x:c r="F6" s="8" t="n">
        <x:v>3627.5612352</x:v>
      </x:c>
      <x:c r="G6" s="8" t="n">
        <x:v>466.091491699</x:v>
      </x:c>
      <x:c r="H6" s="8" t="n">
        <x:v>225</x:v>
      </x:c>
      <x:c r="I6" s="8" t="n">
        <x:v>691.091491699</x:v>
      </x:c>
      <x:c r="J6" s="8" t="n">
        <x:v>9213.47792484</x:v>
      </x:c>
      <x:c r="K6" s="8" t="n">
        <x:v>9884.84659202</x:v>
      </x:c>
      <x:c r="L6" s="8" t="n">
        <x:v>10442.846592</x:v>
      </x:c>
      <x:c r="M6" s="8" t="n">
        <x:v>10951.1645502</x:v>
      </x:c>
      <x:c r="N6" s="8" t="n">
        <x:v>0.425368649624</x:v>
      </x:c>
      <x:c r="O6" s="8" t="n">
        <x:v>0.867072296993</x:v>
      </x:c>
      <x:c r="P6" s="8" t="n">
        <x:v>11623.9705641</x:v>
      </x:c>
      <x:c r="Q6" s="10" t="str">
        <x:v>Q3-T-021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BB5A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  <x:col min="9" max="9" width="18" hidden="0" customWidth="1"/>
    <x:col min="10" max="10" width="19" hidden="0" customWidth="1"/>
    <x:col min="11" max="11" width="20" hidden="0" customWidth="1"/>
    <x:col min="12" max="12" width="20" hidden="0" customWidth="1"/>
  </x:cols>
  <x:sheetData>
    <x:row r="1" ht="40" customHeight="1">
      <x:c r="A1" s="6" t="str">
        <x:v>transport_flight_id</x:v>
      </x:c>
      <x:c r="B1" s="6" t="str">
        <x:v>visit_order</x:v>
      </x:c>
      <x:c r="C1" s="6" t="str">
        <x:v>communication_samples</x:v>
      </x:c>
      <x:c r="D1" s="6" t="str">
        <x:v>direct_samples</x:v>
      </x:c>
      <x:c r="E1" s="6" t="str">
        <x:v>relay_samples</x:v>
      </x:c>
      <x:c r="F1" s="6" t="str">
        <x:v>direct_fraction</x:v>
      </x:c>
      <x:c r="G1" s="6" t="str">
        <x:v>relay_required</x:v>
      </x:c>
      <x:c r="H1" s="6" t="str">
        <x:v>hover_site_id</x:v>
      </x:c>
      <x:c r="I1" s="6" t="str">
        <x:v>min_direct_margin_db</x:v>
      </x:c>
      <x:c r="J1" s="6" t="str">
        <x:v>min_access_margin_db</x:v>
      </x:c>
      <x:c r="K1" s="6" t="str">
        <x:v>first_relay_need_s</x:v>
      </x:c>
      <x:c r="L1" s="6" t="str">
        <x:v>last_relay_need_s</x:v>
      </x:c>
    </x:row>
    <x:row r="2" ht="23" customHeight="1">
      <x:c r="A2" s="2" t="str">
        <x:v>Q3-T-001</x:v>
      </x:c>
      <x:c r="B2" s="2" t="str">
        <x:v>S007</x:v>
      </x:c>
      <x:c r="C2" s="2" t="n">
        <x:v>691</x:v>
      </x:c>
      <x:c r="D2" s="2" t="n">
        <x:v>478</x:v>
      </x:c>
      <x:c r="E2" s="2" t="n">
        <x:v>213</x:v>
      </x:c>
      <x:c r="F2" s="8" t="n">
        <x:v>0.691751085384</x:v>
      </x:c>
      <x:c r="G2" s="18" t="b">
        <x:v>1</x:v>
      </x:c>
      <x:c r="H2" s="8" t="str">
        <x:v>H161</x:v>
      </x:c>
      <x:c r="I2" s="8" t="n">
        <x:v>-1.21315652908</x:v>
      </x:c>
      <x:c r="J2" s="8" t="n">
        <x:v>11.6754470729</x:v>
      </x:c>
      <x:c r="K2" s="8" t="n">
        <x:v>818</x:v>
      </x:c>
      <x:c r="L2" s="8" t="n">
        <x:v>1238</x:v>
      </x:c>
    </x:row>
    <x:row r="3" ht="23" customHeight="1">
      <x:c r="A3" s="7" t="str">
        <x:v>Q3-T-002</x:v>
      </x:c>
      <x:c r="B3" s="7" t="str">
        <x:v>S014</x:v>
      </x:c>
      <x:c r="C3" s="7" t="n">
        <x:v>823</x:v>
      </x:c>
      <x:c r="D3" s="7" t="n">
        <x:v>494</x:v>
      </x:c>
      <x:c r="E3" s="7" t="n">
        <x:v>329</x:v>
      </x:c>
      <x:c r="F3" s="9" t="n">
        <x:v>0.600243013366</x:v>
      </x:c>
      <x:c r="G3" s="19" t="b">
        <x:v>1</x:v>
      </x:c>
      <x:c r="H3" s="9" t="str">
        <x:v>H170</x:v>
      </x:c>
      <x:c r="I3" s="9" t="n">
        <x:v>-2.76254846438</x:v>
      </x:c>
      <x:c r="J3" s="9" t="n">
        <x:v>6.27579563852</x:v>
      </x:c>
      <x:c r="K3" s="9" t="n">
        <x:v>841.409454083</x:v>
      </x:c>
      <x:c r="L3" s="9" t="n">
        <x:v>1489.40945408</x:v>
      </x:c>
    </x:row>
    <x:row r="4" ht="23" customHeight="1">
      <x:c r="A4" s="2" t="str">
        <x:v>Q3-T-003</x:v>
      </x:c>
      <x:c r="B4" s="2" t="str">
        <x:v>S002</x:v>
      </x:c>
      <x:c r="C4" s="2" t="n">
        <x:v>829</x:v>
      </x:c>
      <x:c r="D4" s="2" t="n">
        <x:v>392</x:v>
      </x:c>
      <x:c r="E4" s="2" t="n">
        <x:v>437</x:v>
      </x:c>
      <x:c r="F4" s="8" t="n">
        <x:v>0.472858866104</x:v>
      </x:c>
      <x:c r="G4" s="18" t="b">
        <x:v>1</x:v>
      </x:c>
      <x:c r="H4" s="8" t="str">
        <x:v>H170</x:v>
      </x:c>
      <x:c r="I4" s="8" t="n">
        <x:v>-5.4544475579</x:v>
      </x:c>
      <x:c r="J4" s="8" t="n">
        <x:v>1.66210402145</x:v>
      </x:c>
      <x:c r="K4" s="8" t="n">
        <x:v>749.409454083</x:v>
      </x:c>
      <x:c r="L4" s="8" t="n">
        <x:v>1613.40945408</x:v>
      </x:c>
    </x:row>
    <x:row r="5" ht="23" customHeight="1">
      <x:c r="A5" s="7" t="str">
        <x:v>Q3-T-004</x:v>
      </x:c>
      <x:c r="B5" s="7" t="str">
        <x:v>S010</x:v>
      </x:c>
      <x:c r="C5" s="7" t="n">
        <x:v>640</x:v>
      </x:c>
      <x:c r="D5" s="7" t="n">
        <x:v>437</x:v>
      </x:c>
      <x:c r="E5" s="7" t="n">
        <x:v>203</x:v>
      </x:c>
      <x:c r="F5" s="9" t="n">
        <x:v>0.6828125</x:v>
      </x:c>
      <x:c r="G5" s="19" t="b">
        <x:v>1</x:v>
      </x:c>
      <x:c r="H5" s="9" t="str">
        <x:v>H170</x:v>
      </x:c>
      <x:c r="I5" s="9" t="n">
        <x:v>-1.66697291809</x:v>
      </x:c>
      <x:c r="J5" s="9" t="n">
        <x:v>9.19438282302</x:v>
      </x:c>
      <x:c r="K5" s="9" t="n">
        <x:v>759.409454083</x:v>
      </x:c>
      <x:c r="L5" s="9" t="n">
        <x:v>1155.40945408</x:v>
      </x:c>
    </x:row>
    <x:row r="6" ht="23" customHeight="1">
      <x:c r="A6" s="2" t="str">
        <x:v>Q3-T-005</x:v>
      </x:c>
      <x:c r="B6" s="2" t="str">
        <x:v>S001</x:v>
      </x:c>
      <x:c r="C6" s="2" t="n">
        <x:v>417</x:v>
      </x:c>
      <x:c r="D6" s="2" t="n">
        <x:v>417</x:v>
      </x:c>
      <x:c r="E6" s="2" t="n">
        <x:v>0</x:v>
      </x:c>
      <x:c r="F6" s="8" t="n">
        <x:v>1</x:v>
      </x:c>
      <x:c r="G6" s="18" t="b">
        <x:v>0</x:v>
      </x:c>
      <x:c r="H6" s="8"/>
      <x:c r="I6" s="8" t="n">
        <x:v>2.24100856332</x:v>
      </x:c>
      <x:c r="J6" s="8"/>
      <x:c r="K6" s="8"/>
      <x:c r="L6" s="8"/>
    </x:row>
    <x:row r="7" ht="23" customHeight="1">
      <x:c r="A7" s="7" t="str">
        <x:v>Q3-T-006</x:v>
      </x:c>
      <x:c r="B7" s="7" t="str">
        <x:v>S006</x:v>
      </x:c>
      <x:c r="C7" s="7" t="n">
        <x:v>431</x:v>
      </x:c>
      <x:c r="D7" s="7" t="n">
        <x:v>431</x:v>
      </x:c>
      <x:c r="E7" s="7" t="n">
        <x:v>0</x:v>
      </x:c>
      <x:c r="F7" s="9" t="n">
        <x:v>1</x:v>
      </x:c>
      <x:c r="G7" s="19" t="b">
        <x:v>0</x:v>
      </x:c>
      <x:c r="H7" s="9"/>
      <x:c r="I7" s="9" t="n">
        <x:v>1.85996174426</x:v>
      </x:c>
      <x:c r="J7" s="9"/>
      <x:c r="K7" s="9"/>
      <x:c r="L7" s="9"/>
    </x:row>
    <x:row r="8" ht="23" customHeight="1">
      <x:c r="A8" s="2" t="str">
        <x:v>Q3-T-007</x:v>
      </x:c>
      <x:c r="B8" s="2" t="str">
        <x:v>S002</x:v>
      </x:c>
      <x:c r="C8" s="2" t="n">
        <x:v>821</x:v>
      </x:c>
      <x:c r="D8" s="2" t="n">
        <x:v>343</x:v>
      </x:c>
      <x:c r="E8" s="2" t="n">
        <x:v>478</x:v>
      </x:c>
      <x:c r="F8" s="8" t="n">
        <x:v>0.41778319123</x:v>
      </x:c>
      <x:c r="G8" s="18" t="b">
        <x:v>1</x:v>
      </x:c>
      <x:c r="H8" s="8" t="str">
        <x:v>H170</x:v>
      </x:c>
      <x:c r="I8" s="8" t="n">
        <x:v>-5.4544475579</x:v>
      </x:c>
      <x:c r="J8" s="8" t="n">
        <x:v>1.66210402145</x:v>
      </x:c>
      <x:c r="K8" s="8" t="n">
        <x:v>817.409454083</x:v>
      </x:c>
      <x:c r="L8" s="8" t="n">
        <x:v>1763.40945408</x:v>
      </x:c>
    </x:row>
    <x:row r="9" ht="23" customHeight="1">
      <x:c r="A9" s="7" t="str">
        <x:v>Q3-T-008</x:v>
      </x:c>
      <x:c r="B9" s="7" t="str">
        <x:v>S010</x:v>
      </x:c>
      <x:c r="C9" s="7" t="n">
        <x:v>629</x:v>
      </x:c>
      <x:c r="D9" s="7" t="n">
        <x:v>400</x:v>
      </x:c>
      <x:c r="E9" s="7" t="n">
        <x:v>229</x:v>
      </x:c>
      <x:c r="F9" s="9" t="n">
        <x:v>0.635930047695</x:v>
      </x:c>
      <x:c r="G9" s="19" t="b">
        <x:v>1</x:v>
      </x:c>
      <x:c r="H9" s="9" t="str">
        <x:v>H170</x:v>
      </x:c>
      <x:c r="I9" s="9" t="n">
        <x:v>-1.66697291809</x:v>
      </x:c>
      <x:c r="J9" s="9" t="n">
        <x:v>9.28492508529</x:v>
      </x:c>
      <x:c r="K9" s="9" t="n">
        <x:v>747.409454083</x:v>
      </x:c>
      <x:c r="L9" s="9" t="n">
        <x:v>1195.40945408</x:v>
      </x:c>
    </x:row>
    <x:row r="10" ht="23" customHeight="1">
      <x:c r="A10" s="2" t="str">
        <x:v>Q3-T-009</x:v>
      </x:c>
      <x:c r="B10" s="2" t="str">
        <x:v>S013</x:v>
      </x:c>
      <x:c r="C10" s="2" t="n">
        <x:v>568</x:v>
      </x:c>
      <x:c r="D10" s="2" t="n">
        <x:v>360</x:v>
      </x:c>
      <x:c r="E10" s="2" t="n">
        <x:v>208</x:v>
      </x:c>
      <x:c r="F10" s="8" t="n">
        <x:v>0.633802816901</x:v>
      </x:c>
      <x:c r="G10" s="18" t="b">
        <x:v>1</x:v>
      </x:c>
      <x:c r="H10" s="8" t="str">
        <x:v>H170</x:v>
      </x:c>
      <x:c r="I10" s="8" t="n">
        <x:v>-1.77988927353</x:v>
      </x:c>
      <x:c r="J10" s="8" t="n">
        <x:v>9.38230826097</x:v>
      </x:c>
      <x:c r="K10" s="8" t="n">
        <x:v>1950.67946544</x:v>
      </x:c>
      <x:c r="L10" s="8" t="n">
        <x:v>2356.67946544</x:v>
      </x:c>
    </x:row>
    <x:row r="11" ht="23" customHeight="1">
      <x:c r="A11" s="7" t="str">
        <x:v>Q3-T-010</x:v>
      </x:c>
      <x:c r="B11" s="7" t="str">
        <x:v>S012</x:v>
      </x:c>
      <x:c r="C11" s="7" t="n">
        <x:v>774</x:v>
      </x:c>
      <x:c r="D11" s="7" t="n">
        <x:v>366</x:v>
      </x:c>
      <x:c r="E11" s="7" t="n">
        <x:v>408</x:v>
      </x:c>
      <x:c r="F11" s="9" t="n">
        <x:v>0.472868217054</x:v>
      </x:c>
      <x:c r="G11" s="19" t="b">
        <x:v>1</x:v>
      </x:c>
      <x:c r="H11" s="9" t="str">
        <x:v>H170</x:v>
      </x:c>
      <x:c r="I11" s="9" t="n">
        <x:v>-5.43405539983</x:v>
      </x:c>
      <x:c r="J11" s="9" t="n">
        <x:v>7.12616310027</x:v>
      </x:c>
      <x:c r="K11" s="9" t="n">
        <x:v>1958.51562997</x:v>
      </x:c>
      <x:c r="L11" s="9" t="n">
        <x:v>2764.51562997</x:v>
      </x:c>
    </x:row>
    <x:row r="12" ht="23" customHeight="1">
      <x:c r="A12" s="2" t="str">
        <x:v>Q3-T-011</x:v>
      </x:c>
      <x:c r="B12" s="2" t="str">
        <x:v>S014</x:v>
      </x:c>
      <x:c r="C12" s="2" t="n">
        <x:v>808</x:v>
      </x:c>
      <x:c r="D12" s="2" t="n">
        <x:v>494</x:v>
      </x:c>
      <x:c r="E12" s="2" t="n">
        <x:v>314</x:v>
      </x:c>
      <x:c r="F12" s="8" t="n">
        <x:v>0.611386138614</x:v>
      </x:c>
      <x:c r="G12" s="18" t="b">
        <x:v>1</x:v>
      </x:c>
      <x:c r="H12" s="8" t="str">
        <x:v>H170</x:v>
      </x:c>
      <x:c r="I12" s="8" t="n">
        <x:v>-2.76254846438</x:v>
      </x:c>
      <x:c r="J12" s="8" t="n">
        <x:v>6.27579563852</x:v>
      </x:c>
      <x:c r="K12" s="8" t="n">
        <x:v>2406.30212399</x:v>
      </x:c>
      <x:c r="L12" s="8" t="n">
        <x:v>3024.30212399</x:v>
      </x:c>
    </x:row>
    <x:row r="13" ht="23" customHeight="1">
      <x:c r="A13" s="7" t="str">
        <x:v>Q3-T-012</x:v>
      </x:c>
      <x:c r="B13" s="7" t="str">
        <x:v>S003</x:v>
      </x:c>
      <x:c r="C13" s="7" t="n">
        <x:v>986</x:v>
      </x:c>
      <x:c r="D13" s="7" t="n">
        <x:v>455</x:v>
      </x:c>
      <x:c r="E13" s="7" t="n">
        <x:v>531</x:v>
      </x:c>
      <x:c r="F13" s="9" t="n">
        <x:v>0.461460446247</x:v>
      </x:c>
      <x:c r="G13" s="19" t="b">
        <x:v>1</x:v>
      </x:c>
      <x:c r="H13" s="9" t="str">
        <x:v>H161</x:v>
      </x:c>
      <x:c r="I13" s="9" t="n">
        <x:v>-5.29162043631</x:v>
      </x:c>
      <x:c r="J13" s="9" t="n">
        <x:v>5.78507452221</x:v>
      </x:c>
      <x:c r="K13" s="9" t="n">
        <x:v>2718.68662533</x:v>
      </x:c>
      <x:c r="L13" s="9" t="n">
        <x:v>3770.68662533</x:v>
      </x:c>
    </x:row>
    <x:row r="14" ht="23" customHeight="1">
      <x:c r="A14" s="2" t="str">
        <x:v>Q3-T-013</x:v>
      </x:c>
      <x:c r="B14" s="2" t="str">
        <x:v>S004</x:v>
      </x:c>
      <x:c r="C14" s="2" t="n">
        <x:v>918</x:v>
      </x:c>
      <x:c r="D14" s="2" t="n">
        <x:v>500</x:v>
      </x:c>
      <x:c r="E14" s="2" t="n">
        <x:v>418</x:v>
      </x:c>
      <x:c r="F14" s="8" t="n">
        <x:v>0.544662309368</x:v>
      </x:c>
      <x:c r="G14" s="18" t="b">
        <x:v>1</x:v>
      </x:c>
      <x:c r="H14" s="8" t="str">
        <x:v>H039</x:v>
      </x:c>
      <x:c r="I14" s="8" t="n">
        <x:v>-5.8051624007</x:v>
      </x:c>
      <x:c r="J14" s="8" t="n">
        <x:v>11.9093788385</x:v>
      </x:c>
      <x:c r="K14" s="8" t="n">
        <x:v>4654.05892162</x:v>
      </x:c>
      <x:c r="L14" s="8" t="n">
        <x:v>5480.05892162</x:v>
      </x:c>
    </x:row>
    <x:row r="15" ht="23" customHeight="1">
      <x:c r="A15" s="7" t="str">
        <x:v>Q3-T-014</x:v>
      </x:c>
      <x:c r="B15" s="7" t="str">
        <x:v>S015</x:v>
      </x:c>
      <x:c r="C15" s="7" t="n">
        <x:v>727</x:v>
      </x:c>
      <x:c r="D15" s="7" t="n">
        <x:v>423</x:v>
      </x:c>
      <x:c r="E15" s="7" t="n">
        <x:v>304</x:v>
      </x:c>
      <x:c r="F15" s="9" t="n">
        <x:v>0.581843191197</x:v>
      </x:c>
      <x:c r="G15" s="19" t="b">
        <x:v>1</x:v>
      </x:c>
      <x:c r="H15" s="9" t="str">
        <x:v>H161</x:v>
      </x:c>
      <x:c r="I15" s="9" t="n">
        <x:v>-3.6529442698</x:v>
      </x:c>
      <x:c r="J15" s="9" t="n">
        <x:v>14.2092581371</x:v>
      </x:c>
      <x:c r="K15" s="9" t="n">
        <x:v>3719.73586055</x:v>
      </x:c>
      <x:c r="L15" s="9" t="n">
        <x:v>4317.73586055</x:v>
      </x:c>
    </x:row>
    <x:row r="16" ht="23" customHeight="1">
      <x:c r="A16" s="2" t="str">
        <x:v>Q3-T-015</x:v>
      </x:c>
      <x:c r="B16" s="2" t="str">
        <x:v>S009</x:v>
      </x:c>
      <x:c r="C16" s="2" t="n">
        <x:v>592</x:v>
      </x:c>
      <x:c r="D16" s="2" t="n">
        <x:v>322</x:v>
      </x:c>
      <x:c r="E16" s="2" t="n">
        <x:v>270</x:v>
      </x:c>
      <x:c r="F16" s="8" t="n">
        <x:v>0.543918918919</x:v>
      </x:c>
      <x:c r="G16" s="18" t="b">
        <x:v>1</x:v>
      </x:c>
      <x:c r="H16" s="8" t="str">
        <x:v>H161</x:v>
      </x:c>
      <x:c r="I16" s="8" t="n">
        <x:v>-3.18262159269</x:v>
      </x:c>
      <x:c r="J16" s="8" t="n">
        <x:v>0.714529614332</x:v>
      </x:c>
      <x:c r="K16" s="8" t="n">
        <x:v>4041.88725055</x:v>
      </x:c>
      <x:c r="L16" s="8" t="n">
        <x:v>4571.88725055</x:v>
      </x:c>
    </x:row>
    <x:row r="17" ht="23" customHeight="1">
      <x:c r="A17" s="7" t="str">
        <x:v>Q3-T-016</x:v>
      </x:c>
      <x:c r="B17" s="7" t="str">
        <x:v>S008</x:v>
      </x:c>
      <x:c r="C17" s="7" t="n">
        <x:v>882</x:v>
      </x:c>
      <x:c r="D17" s="7" t="n">
        <x:v>408</x:v>
      </x:c>
      <x:c r="E17" s="7" t="n">
        <x:v>474</x:v>
      </x:c>
      <x:c r="F17" s="9" t="n">
        <x:v>0.462585034014</x:v>
      </x:c>
      <x:c r="G17" s="19" t="b">
        <x:v>1</x:v>
      </x:c>
      <x:c r="H17" s="9" t="str">
        <x:v>H161</x:v>
      </x:c>
      <x:c r="I17" s="9" t="n">
        <x:v>-6.20486586232</x:v>
      </x:c>
      <x:c r="J17" s="9" t="n">
        <x:v>2.97826347566</x:v>
      </x:c>
      <x:c r="K17" s="9" t="n">
        <x:v>5088.86433649</x:v>
      </x:c>
      <x:c r="L17" s="9" t="n">
        <x:v>6026.86433649</x:v>
      </x:c>
    </x:row>
    <x:row r="18" ht="23" customHeight="1">
      <x:c r="A18" s="2" t="str">
        <x:v>Q3-T-017</x:v>
      </x:c>
      <x:c r="B18" s="2" t="str">
        <x:v>S011</x:v>
      </x:c>
      <x:c r="C18" s="2" t="n">
        <x:v>407</x:v>
      </x:c>
      <x:c r="D18" s="2" t="n">
        <x:v>407</x:v>
      </x:c>
      <x:c r="E18" s="2" t="n">
        <x:v>0</x:v>
      </x:c>
      <x:c r="F18" s="8" t="n">
        <x:v>1</x:v>
      </x:c>
      <x:c r="G18" s="18" t="b">
        <x:v>0</x:v>
      </x:c>
      <x:c r="H18" s="8"/>
      <x:c r="I18" s="8" t="n">
        <x:v>2.96550809411</x:v>
      </x:c>
      <x:c r="J18" s="8"/>
      <x:c r="K18" s="8"/>
      <x:c r="L18" s="8"/>
    </x:row>
    <x:row r="19" ht="23" customHeight="1">
      <x:c r="A19" s="7" t="str">
        <x:v>Q3-T-018</x:v>
      </x:c>
      <x:c r="B19" s="7" t="str">
        <x:v>S005</x:v>
      </x:c>
      <x:c r="C19" s="7" t="n">
        <x:v>706</x:v>
      </x:c>
      <x:c r="D19" s="7" t="n">
        <x:v>350</x:v>
      </x:c>
      <x:c r="E19" s="7" t="n">
        <x:v>356</x:v>
      </x:c>
      <x:c r="F19" s="9" t="n">
        <x:v>0.495750708215</x:v>
      </x:c>
      <x:c r="G19" s="19" t="b">
        <x:v>1</x:v>
      </x:c>
      <x:c r="H19" s="9" t="str">
        <x:v>H161</x:v>
      </x:c>
      <x:c r="I19" s="9" t="n">
        <x:v>-2.51284808004</x:v>
      </x:c>
      <x:c r="J19" s="9" t="n">
        <x:v>5.40312898906</x:v>
      </x:c>
      <x:c r="K19" s="9" t="n">
        <x:v>6809.11364043</x:v>
      </x:c>
      <x:c r="L19" s="9" t="n">
        <x:v>7511.11364043</x:v>
      </x:c>
    </x:row>
    <x:row r="20" ht="23" customHeight="1">
      <x:c r="A20" s="2" t="str">
        <x:v>Q3-T-019</x:v>
      </x:c>
      <x:c r="B20" s="2" t="str">
        <x:v>S003</x:v>
      </x:c>
      <x:c r="C20" s="2" t="n">
        <x:v>838</x:v>
      </x:c>
      <x:c r="D20" s="2" t="n">
        <x:v>419</x:v>
      </x:c>
      <x:c r="E20" s="2" t="n">
        <x:v>419</x:v>
      </x:c>
      <x:c r="F20" s="8" t="n">
        <x:v>0.5</x:v>
      </x:c>
      <x:c r="G20" s="18" t="b">
        <x:v>1</x:v>
      </x:c>
      <x:c r="H20" s="8" t="str">
        <x:v>H161</x:v>
      </x:c>
      <x:c r="I20" s="8" t="n">
        <x:v>-5.29162043631</x:v>
      </x:c>
      <x:c r="J20" s="8" t="n">
        <x:v>5.78507452221</x:v>
      </x:c>
      <x:c r="K20" s="8" t="n">
        <x:v>5959.34723082</x:v>
      </x:c>
      <x:c r="L20" s="8" t="n">
        <x:v>6787.34723082</x:v>
      </x:c>
    </x:row>
    <x:row r="21" ht="23" customHeight="1">
      <x:c r="A21" s="7" t="str">
        <x:v>Q3-T-020</x:v>
      </x:c>
      <x:c r="B21" s="7" t="str">
        <x:v>S001</x:v>
      </x:c>
      <x:c r="C21" s="7" t="n">
        <x:v>515</x:v>
      </x:c>
      <x:c r="D21" s="7" t="n">
        <x:v>515</x:v>
      </x:c>
      <x:c r="E21" s="7" t="n">
        <x:v>0</x:v>
      </x:c>
      <x:c r="F21" s="9" t="n">
        <x:v>1</x:v>
      </x:c>
      <x:c r="G21" s="19" t="b">
        <x:v>0</x:v>
      </x:c>
      <x:c r="H21" s="9"/>
      <x:c r="I21" s="9" t="n">
        <x:v>2.24100856332</x:v>
      </x:c>
      <x:c r="J21" s="9"/>
      <x:c r="K21" s="9"/>
      <x:c r="L21" s="9"/>
    </x:row>
    <x:row r="22" ht="23" customHeight="1">
      <x:c r="A22" s="2" t="str">
        <x:v>Q3-T-021</x:v>
      </x:c>
      <x:c r="B22" s="2" t="str">
        <x:v>S006-S007</x:v>
      </x:c>
      <x:c r="C22" s="2" t="n">
        <x:v>963</x:v>
      </x:c>
      <x:c r="D22" s="2" t="n">
        <x:v>691</x:v>
      </x:c>
      <x:c r="E22" s="2" t="n">
        <x:v>272</x:v>
      </x:c>
      <x:c r="F22" s="8" t="n">
        <x:v>0.717549325026</x:v>
      </x:c>
      <x:c r="G22" s="18" t="b">
        <x:v>1</x:v>
      </x:c>
      <x:c r="H22" s="8" t="str">
        <x:v>H161</x:v>
      </x:c>
      <x:c r="I22" s="8" t="n">
        <x:v>-1.22028526656</x:v>
      </x:c>
      <x:c r="J22" s="8" t="n">
        <x:v>9.45273754512</x:v>
      </x:c>
      <x:c r="K22" s="8" t="n">
        <x:v>9884.84659202</x:v>
      </x:c>
      <x:c r="L22" s="8" t="n">
        <x:v>10442.846592</x:v>
      </x:c>
    </x:row>
    <x:row r="23" ht="23" customHeight="1">
      <x:c r="A23" s="7" t="str">
        <x:v>Q3-T-022</x:v>
      </x:c>
      <x:c r="B23" s="7" t="str">
        <x:v>S001</x:v>
      </x:c>
      <x:c r="C23" s="7" t="n">
        <x:v>515</x:v>
      </x:c>
      <x:c r="D23" s="7" t="n">
        <x:v>515</x:v>
      </x:c>
      <x:c r="E23" s="7" t="n">
        <x:v>0</x:v>
      </x:c>
      <x:c r="F23" s="9" t="n">
        <x:v>1</x:v>
      </x:c>
      <x:c r="G23" s="19" t="b">
        <x:v>0</x:v>
      </x:c>
      <x:c r="H23" s="9"/>
      <x:c r="I23" s="9" t="n">
        <x:v>2.24100856332</x:v>
      </x:c>
      <x:c r="J23" s="9"/>
      <x:c r="K23" s="9"/>
      <x:c r="L23" s="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8BB5A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9" hidden="0" customWidth="1"/>
    <x:col min="3" max="3" width="17" hidden="0" customWidth="1"/>
    <x:col min="4" max="4" width="20" hidden="0" customWidth="1"/>
    <x:col min="5" max="5" width="20" hidden="0" customWidth="1"/>
    <x:col min="6" max="6" width="22" hidden="0" customWidth="1"/>
    <x:col min="7" max="7" width="14" hidden="0" customWidth="1"/>
    <x:col min="8" max="8" width="14" hidden="0" customWidth="1"/>
  </x:cols>
  <x:sheetData>
    <x:row r="1" ht="40" customHeight="1">
      <x:c r="A1" s="6" t="str">
        <x:v>resource_class</x:v>
      </x:c>
      <x:c r="B1" s="6" t="str">
        <x:v>resource_id</x:v>
      </x:c>
      <x:c r="C1" s="6" t="str">
        <x:v>task_id</x:v>
      </x:c>
      <x:c r="D1" s="6" t="str">
        <x:v>occupied_start_s</x:v>
      </x:c>
      <x:c r="E1" s="6" t="str">
        <x:v>occupied_end_s</x:v>
      </x:c>
      <x:c r="F1" s="6" t="str">
        <x:v>available_again_s</x:v>
      </x:c>
      <x:c r="G1" s="6" t="str">
        <x:v>start_soc</x:v>
      </x:c>
      <x:c r="H1" s="6" t="str">
        <x:v>end_soc</x:v>
      </x:c>
    </x:row>
    <x:row r="2" ht="23" customHeight="1">
      <x:c r="A2" s="2" t="str">
        <x:v>transport_aircraft</x:v>
      </x:c>
      <x:c r="B2" s="2" t="str">
        <x:v>U01</x:v>
      </x:c>
      <x:c r="C2" s="2" t="str">
        <x:v>Q3-T-001</x:v>
      </x:c>
      <x:c r="D2" s="12" t="n">
        <x:v>0</x:v>
      </x:c>
      <x:c r="E2" s="12" t="n">
        <x:v>1727.46688583</x:v>
      </x:c>
      <x:c r="F2" s="12" t="n">
        <x:v>1727.46688583</x:v>
      </x:c>
      <x:c r="G2" s="20" t="n">
        <x:v>1</x:v>
      </x:c>
      <x:c r="H2" s="20" t="n">
        <x:v>0.576581488831</x:v>
      </x:c>
    </x:row>
    <x:row r="3" ht="23" customHeight="1">
      <x:c r="A3" s="7" t="str">
        <x:v>transport_battery</x:v>
      </x:c>
      <x:c r="B3" s="7" t="str">
        <x:v>BAT-A-01</x:v>
      </x:c>
      <x:c r="C3" s="7" t="str">
        <x:v>Q3-T-001</x:v>
      </x:c>
      <x:c r="D3" s="13" t="n">
        <x:v>0</x:v>
      </x:c>
      <x:c r="E3" s="13" t="n">
        <x:v>1727.46688583</x:v>
      </x:c>
      <x:c r="F3" s="13" t="n">
        <x:v>2777.91095035</x:v>
      </x:c>
      <x:c r="G3" s="21" t="n">
        <x:v>1</x:v>
      </x:c>
      <x:c r="H3" s="21" t="n">
        <x:v>0.576581488831</x:v>
      </x:c>
    </x:row>
    <x:row r="4" ht="23" customHeight="1">
      <x:c r="A4" s="2" t="str">
        <x:v>transport_aircraft</x:v>
      </x:c>
      <x:c r="B4" s="2" t="str">
        <x:v>U02</x:v>
      </x:c>
      <x:c r="C4" s="2" t="str">
        <x:v>Q3-T-002</x:v>
      </x:c>
      <x:c r="D4" s="12" t="n">
        <x:v>5.4094540827</x:v>
      </x:c>
      <x:c r="E4" s="12" t="n">
        <x:v>1995.80833937</x:v>
      </x:c>
      <x:c r="F4" s="12" t="n">
        <x:v>1995.80833937</x:v>
      </x:c>
      <x:c r="G4" s="20" t="n">
        <x:v>1</x:v>
      </x:c>
      <x:c r="H4" s="20" t="n">
        <x:v>0.490915922755</x:v>
      </x:c>
    </x:row>
    <x:row r="5" ht="23" customHeight="1">
      <x:c r="A5" s="7" t="str">
        <x:v>transport_battery</x:v>
      </x:c>
      <x:c r="B5" s="7" t="str">
        <x:v>BAT-A-02</x:v>
      </x:c>
      <x:c r="C5" s="7" t="str">
        <x:v>Q3-T-002</x:v>
      </x:c>
      <x:c r="D5" s="13" t="n">
        <x:v>5.4094540827</x:v>
      </x:c>
      <x:c r="E5" s="13" t="n">
        <x:v>1995.80833937</x:v>
      </x:c>
      <x:c r="F5" s="13" t="n">
        <x:v>3157.61763979</x:v>
      </x:c>
      <x:c r="G5" s="21" t="n">
        <x:v>1</x:v>
      </x:c>
      <x:c r="H5" s="21" t="n">
        <x:v>0.490915922755</x:v>
      </x:c>
    </x:row>
    <x:row r="6" ht="23" customHeight="1">
      <x:c r="A6" s="2" t="str">
        <x:v>transport_aircraft</x:v>
      </x:c>
      <x:c r="B6" s="2" t="str">
        <x:v>U03</x:v>
      </x:c>
      <x:c r="C6" s="2" t="str">
        <x:v>Q3-T-003</x:v>
      </x:c>
      <x:c r="D6" s="12" t="n">
        <x:v>5.4094540827</x:v>
      </x:c>
      <x:c r="E6" s="12" t="n">
        <x:v>2009.18466254</x:v>
      </x:c>
      <x:c r="F6" s="12" t="n">
        <x:v>2009.18466254</x:v>
      </x:c>
      <x:c r="G6" s="20" t="n">
        <x:v>1</x:v>
      </x:c>
      <x:c r="H6" s="20" t="n">
        <x:v>0.351107181181</x:v>
      </x:c>
    </x:row>
    <x:row r="7" ht="23" customHeight="1">
      <x:c r="A7" s="7" t="str">
        <x:v>transport_battery</x:v>
      </x:c>
      <x:c r="B7" s="7" t="str">
        <x:v>BAT-A-03</x:v>
      </x:c>
      <x:c r="C7" s="7" t="str">
        <x:v>Q3-T-003</x:v>
      </x:c>
      <x:c r="D7" s="13" t="n">
        <x:v>5.4094540827</x:v>
      </x:c>
      <x:c r="E7" s="13" t="n">
        <x:v>2009.18466254</x:v>
      </x:c>
      <x:c r="F7" s="13" t="n">
        <x:v>3352.745327</x:v>
      </x:c>
      <x:c r="G7" s="21" t="n">
        <x:v>1</x:v>
      </x:c>
      <x:c r="H7" s="21" t="n">
        <x:v>0.351107181181</x:v>
      </x:c>
    </x:row>
    <x:row r="8" ht="23" customHeight="1">
      <x:c r="A8" s="2" t="str">
        <x:v>transport_aircraft</x:v>
      </x:c>
      <x:c r="B8" s="2" t="str">
        <x:v>U04</x:v>
      </x:c>
      <x:c r="C8" s="2" t="str">
        <x:v>Q3-T-004</x:v>
      </x:c>
      <x:c r="D8" s="12" t="n">
        <x:v>5.4094540827</x:v>
      </x:c>
      <x:c r="E8" s="12" t="n">
        <x:v>1600.30212399</x:v>
      </x:c>
      <x:c r="F8" s="12" t="n">
        <x:v>1600.30212399</x:v>
      </x:c>
      <x:c r="G8" s="20" t="n">
        <x:v>1</x:v>
      </x:c>
      <x:c r="H8" s="20" t="n">
        <x:v>0.584896672556</x:v>
      </x:c>
    </x:row>
    <x:row r="9" ht="23" customHeight="1">
      <x:c r="A9" s="7" t="str">
        <x:v>transport_battery</x:v>
      </x:c>
      <x:c r="B9" s="7" t="str">
        <x:v>BAT-A-04</x:v>
      </x:c>
      <x:c r="C9" s="7" t="str">
        <x:v>Q3-T-004</x:v>
      </x:c>
      <x:c r="D9" s="13" t="n">
        <x:v>5.4094540827</x:v>
      </x:c>
      <x:c r="E9" s="13" t="n">
        <x:v>1600.30212399</x:v>
      </x:c>
      <x:c r="F9" s="13" t="n">
        <x:v>2639.93644967</x:v>
      </x:c>
      <x:c r="G9" s="21" t="n">
        <x:v>1</x:v>
      </x:c>
      <x:c r="H9" s="21" t="n">
        <x:v>0.584896672556</x:v>
      </x:c>
    </x:row>
    <x:row r="10" ht="23" customHeight="1">
      <x:c r="A10" s="2" t="str">
        <x:v>transport_aircraft</x:v>
      </x:c>
      <x:c r="B10" s="2" t="str">
        <x:v>U05</x:v>
      </x:c>
      <x:c r="C10" s="2" t="str">
        <x:v>Q3-T-005</x:v>
      </x:c>
      <x:c r="D10" s="12" t="n">
        <x:v>0</x:v>
      </x:c>
      <x:c r="E10" s="12" t="n">
        <x:v>1209.10617589</x:v>
      </x:c>
      <x:c r="F10" s="12" t="n">
        <x:v>1209.10617589</x:v>
      </x:c>
      <x:c r="G10" s="20" t="n">
        <x:v>1</x:v>
      </x:c>
      <x:c r="H10" s="20" t="n">
        <x:v>0.731506935552</x:v>
      </x:c>
    </x:row>
    <x:row r="11" ht="23" customHeight="1">
      <x:c r="A11" s="7" t="str">
        <x:v>transport_battery</x:v>
      </x:c>
      <x:c r="B11" s="7" t="str">
        <x:v>BAT-B-01</x:v>
      </x:c>
      <x:c r="C11" s="7" t="str">
        <x:v>Q3-T-005</x:v>
      </x:c>
      <x:c r="D11" s="13" t="n">
        <x:v>0</x:v>
      </x:c>
      <x:c r="E11" s="13" t="n">
        <x:v>1209.10617589</x:v>
      </x:c>
      <x:c r="F11" s="13" t="n">
        <x:v>2341.16082093</x:v>
      </x:c>
      <x:c r="G11" s="21" t="n">
        <x:v>1</x:v>
      </x:c>
      <x:c r="H11" s="21" t="n">
        <x:v>0.731506935552</x:v>
      </x:c>
    </x:row>
    <x:row r="12" ht="23" customHeight="1">
      <x:c r="A12" s="2" t="str">
        <x:v>transport_aircraft</x:v>
      </x:c>
      <x:c r="B12" s="2" t="str">
        <x:v>U06</x:v>
      </x:c>
      <x:c r="C12" s="2" t="str">
        <x:v>Q3-T-006</x:v>
      </x:c>
      <x:c r="D12" s="12" t="n">
        <x:v>0</x:v>
      </x:c>
      <x:c r="E12" s="12" t="n">
        <x:v>1207.27001136</x:v>
      </x:c>
      <x:c r="F12" s="12" t="n">
        <x:v>1207.27001136</x:v>
      </x:c>
      <x:c r="G12" s="20" t="n">
        <x:v>1</x:v>
      </x:c>
      <x:c r="H12" s="20" t="n">
        <x:v>0.725313176183</x:v>
      </x:c>
    </x:row>
    <x:row r="13" ht="23" customHeight="1">
      <x:c r="A13" s="7" t="str">
        <x:v>transport_battery</x:v>
      </x:c>
      <x:c r="B13" s="7" t="str">
        <x:v>BAT-B-02</x:v>
      </x:c>
      <x:c r="C13" s="7" t="str">
        <x:v>Q3-T-006</x:v>
      </x:c>
      <x:c r="D13" s="13" t="n">
        <x:v>0</x:v>
      </x:c>
      <x:c r="E13" s="13" t="n">
        <x:v>1207.27001136</x:v>
      </x:c>
      <x:c r="F13" s="13" t="n">
        <x:v>2350.06050597</x:v>
      </x:c>
      <x:c r="G13" s="21" t="n">
        <x:v>1</x:v>
      </x:c>
      <x:c r="H13" s="21" t="n">
        <x:v>0.725313176183</x:v>
      </x:c>
    </x:row>
    <x:row r="14" ht="23" customHeight="1">
      <x:c r="A14" s="2" t="str">
        <x:v>transport_aircraft</x:v>
      </x:c>
      <x:c r="B14" s="2" t="str">
        <x:v>U07</x:v>
      </x:c>
      <x:c r="C14" s="2" t="str">
        <x:v>Q3-T-007</x:v>
      </x:c>
      <x:c r="D14" s="12" t="n">
        <x:v>5.4094540827</x:v>
      </x:c>
      <x:c r="E14" s="12" t="n">
        <x:v>2113.25162013</x:v>
      </x:c>
      <x:c r="F14" s="12" t="n">
        <x:v>2113.25162013</x:v>
      </x:c>
      <x:c r="G14" s="20" t="n">
        <x:v>1</x:v>
      </x:c>
      <x:c r="H14" s="20" t="n">
        <x:v>0.236775380902</x:v>
      </x:c>
    </x:row>
    <x:row r="15" ht="23" customHeight="1">
      <x:c r="A15" s="7" t="str">
        <x:v>transport_battery</x:v>
      </x:c>
      <x:c r="B15" s="7" t="str">
        <x:v>BAT-C-01</x:v>
      </x:c>
      <x:c r="C15" s="7" t="str">
        <x:v>Q3-T-007</x:v>
      </x:c>
      <x:c r="D15" s="13" t="n">
        <x:v>5.4094540827</x:v>
      </x:c>
      <x:c r="E15" s="13" t="n">
        <x:v>2113.25162013</x:v>
      </x:c>
      <x:c r="F15" s="13" t="n">
        <x:v>4600.23829484</x:v>
      </x:c>
      <x:c r="G15" s="21" t="n">
        <x:v>1</x:v>
      </x:c>
      <x:c r="H15" s="21" t="n">
        <x:v>0.236775380902</x:v>
      </x:c>
    </x:row>
    <x:row r="16" ht="23" customHeight="1">
      <x:c r="A16" s="2" t="str">
        <x:v>transport_aircraft</x:v>
      </x:c>
      <x:c r="B16" s="2" t="str">
        <x:v>U08</x:v>
      </x:c>
      <x:c r="C16" s="2" t="str">
        <x:v>Q3-T-008</x:v>
      </x:c>
      <x:c r="D16" s="12" t="n">
        <x:v>5.4094540827</x:v>
      </x:c>
      <x:c r="E16" s="12" t="n">
        <x:v>1608.141819</x:v>
      </x:c>
      <x:c r="F16" s="12" t="n">
        <x:v>1608.141819</x:v>
      </x:c>
      <x:c r="G16" s="20" t="n">
        <x:v>1</x:v>
      </x:c>
      <x:c r="H16" s="20" t="n">
        <x:v>0.606267419229</x:v>
      </x:c>
    </x:row>
    <x:row r="17" ht="23" customHeight="1">
      <x:c r="A17" s="7" t="str">
        <x:v>transport_battery</x:v>
      </x:c>
      <x:c r="B17" s="7" t="str">
        <x:v>BAT-C-02</x:v>
      </x:c>
      <x:c r="C17" s="7" t="str">
        <x:v>Q3-T-008</x:v>
      </x:c>
      <x:c r="D17" s="13" t="n">
        <x:v>5.4094540827</x:v>
      </x:c>
      <x:c r="E17" s="13" t="n">
        <x:v>1608.141819</x:v>
      </x:c>
      <x:c r="F17" s="13" t="n">
        <x:v>3294.56241067</x:v>
      </x:c>
      <x:c r="G17" s="21" t="n">
        <x:v>1</x:v>
      </x:c>
      <x:c r="H17" s="21" t="n">
        <x:v>0.606267419229</x:v>
      </x:c>
    </x:row>
    <x:row r="18" ht="23" customHeight="1">
      <x:c r="A18" s="2" t="str">
        <x:v>transport_aircraft</x:v>
      </x:c>
      <x:c r="B18" s="2" t="str">
        <x:v>U06</x:v>
      </x:c>
      <x:c r="C18" s="2" t="str">
        <x:v>Q3-T-009</x:v>
      </x:c>
      <x:c r="D18" s="12" t="n">
        <x:v>1212.67946544</x:v>
      </x:c>
      <x:c r="E18" s="12" t="n">
        <x:v>2723.19105422</x:v>
      </x:c>
      <x:c r="F18" s="12" t="n">
        <x:v>2723.19105422</x:v>
      </x:c>
      <x:c r="G18" s="20" t="n">
        <x:v>1</x:v>
      </x:c>
      <x:c r="H18" s="20" t="n">
        <x:v>0.543792952192</x:v>
      </x:c>
    </x:row>
    <x:row r="19" ht="23" customHeight="1">
      <x:c r="A19" s="7" t="str">
        <x:v>transport_battery</x:v>
      </x:c>
      <x:c r="B19" s="7" t="str">
        <x:v>BAT-B-03</x:v>
      </x:c>
      <x:c r="C19" s="7" t="str">
        <x:v>Q3-T-009</x:v>
      </x:c>
      <x:c r="D19" s="13" t="n">
        <x:v>1212.67946544</x:v>
      </x:c>
      <x:c r="E19" s="13" t="n">
        <x:v>2723.19105422</x:v>
      </x:c>
      <x:c r="F19" s="13" t="n">
        <x:v>4180.61660375</x:v>
      </x:c>
      <x:c r="G19" s="21" t="n">
        <x:v>1</x:v>
      </x:c>
      <x:c r="H19" s="21" t="n">
        <x:v>0.543792952192</x:v>
      </x:c>
    </x:row>
    <x:row r="20" ht="23" customHeight="1">
      <x:c r="A20" s="2" t="str">
        <x:v>transport_aircraft</x:v>
      </x:c>
      <x:c r="B20" s="2" t="str">
        <x:v>U05</x:v>
      </x:c>
      <x:c r="C20" s="2" t="str">
        <x:v>Q3-T-010</x:v>
      </x:c>
      <x:c r="D20" s="12" t="n">
        <x:v>1214.51562997</x:v>
      </x:c>
      <x:c r="E20" s="12" t="n">
        <x:v>3137.34244422</x:v>
      </x:c>
      <x:c r="F20" s="12" t="n">
        <x:v>3137.34244422</x:v>
      </x:c>
      <x:c r="G20" s="20" t="n">
        <x:v>1</x:v>
      </x:c>
      <x:c r="H20" s="20" t="n">
        <x:v>0.311850011381</x:v>
      </x:c>
    </x:row>
    <x:row r="21" ht="23" customHeight="1">
      <x:c r="A21" s="7" t="str">
        <x:v>transport_battery</x:v>
      </x:c>
      <x:c r="B21" s="7" t="str">
        <x:v>BAT-B-04</x:v>
      </x:c>
      <x:c r="C21" s="7" t="str">
        <x:v>Q3-T-010</x:v>
      </x:c>
      <x:c r="D21" s="13" t="n">
        <x:v>1214.51562997</x:v>
      </x:c>
      <x:c r="E21" s="13" t="n">
        <x:v>3137.34244422</x:v>
      </x:c>
      <x:c r="F21" s="13" t="n">
        <x:v>4996.80242449</x:v>
      </x:c>
      <x:c r="G21" s="21" t="n">
        <x:v>1</x:v>
      </x:c>
      <x:c r="H21" s="21" t="n">
        <x:v>0.311850011381</x:v>
      </x:c>
    </x:row>
    <x:row r="22" ht="23" customHeight="1">
      <x:c r="A22" s="2" t="str">
        <x:v>transport_aircraft</x:v>
      </x:c>
      <x:c r="B22" s="2" t="str">
        <x:v>U04</x:v>
      </x:c>
      <x:c r="C22" s="2" t="str">
        <x:v>Q3-T-011</x:v>
      </x:c>
      <x:c r="D22" s="12" t="n">
        <x:v>1600.30212399</x:v>
      </x:c>
      <x:c r="E22" s="12" t="n">
        <x:v>3530.70100928</x:v>
      </x:c>
      <x:c r="F22" s="12" t="n">
        <x:v>3530.70100928</x:v>
      </x:c>
      <x:c r="G22" s="20" t="n">
        <x:v>1</x:v>
      </x:c>
      <x:c r="H22" s="20" t="n">
        <x:v>0.513668306313</x:v>
      </x:c>
    </x:row>
    <x:row r="23" ht="23" customHeight="1">
      <x:c r="A23" s="7" t="str">
        <x:v>transport_battery</x:v>
      </x:c>
      <x:c r="B23" s="7" t="str">
        <x:v>BAT-A-05</x:v>
      </x:c>
      <x:c r="C23" s="7" t="str">
        <x:v>Q3-T-011</x:v>
      </x:c>
      <x:c r="D23" s="13" t="n">
        <x:v>1600.30212399</x:v>
      </x:c>
      <x:c r="E23" s="13" t="n">
        <x:v>3530.70100928</x:v>
      </x:c>
      <x:c r="F23" s="13" t="n">
        <x:v>4662.93221108</x:v>
      </x:c>
      <x:c r="G23" s="21" t="n">
        <x:v>1</x:v>
      </x:c>
      <x:c r="H23" s="21" t="n">
        <x:v>0.513668306313</x:v>
      </x:c>
    </x:row>
    <x:row r="24" ht="23" customHeight="1">
      <x:c r="A24" s="2" t="str">
        <x:v>transport_aircraft</x:v>
      </x:c>
      <x:c r="B24" s="2" t="str">
        <x:v>U08</x:v>
      </x:c>
      <x:c r="C24" s="2" t="str">
        <x:v>Q3-T-012</x:v>
      </x:c>
      <x:c r="D24" s="12" t="n">
        <x:v>1808.68662533</x:v>
      </x:c>
      <x:c r="E24" s="12" t="n">
        <x:v>4244.86433649</x:v>
      </x:c>
      <x:c r="F24" s="12" t="n">
        <x:v>4244.86433649</x:v>
      </x:c>
      <x:c r="G24" s="20" t="n">
        <x:v>1</x:v>
      </x:c>
      <x:c r="H24" s="20" t="n">
        <x:v>0.209437576115</x:v>
      </x:c>
    </x:row>
    <x:row r="25" ht="23" customHeight="1">
      <x:c r="A25" s="7" t="str">
        <x:v>transport_battery</x:v>
      </x:c>
      <x:c r="B25" s="7" t="str">
        <x:v>BAT-C-03</x:v>
      </x:c>
      <x:c r="C25" s="7" t="str">
        <x:v>Q3-T-012</x:v>
      </x:c>
      <x:c r="D25" s="13" t="n">
        <x:v>1808.68662533</x:v>
      </x:c>
      <x:c r="E25" s="13" t="n">
        <x:v>4244.86433649</x:v>
      </x:c>
      <x:c r="F25" s="13" t="n">
        <x:v>6791.08292157</x:v>
      </x:c>
      <x:c r="G25" s="21" t="n">
        <x:v>1</x:v>
      </x:c>
      <x:c r="H25" s="21" t="n">
        <x:v>0.209437576115</x:v>
      </x:c>
    </x:row>
    <x:row r="26" ht="23" customHeight="1">
      <x:c r="A26" s="2" t="str">
        <x:v>transport_aircraft</x:v>
      </x:c>
      <x:c r="B26" s="2" t="str">
        <x:v>U07</x:v>
      </x:c>
      <x:c r="C26" s="2" t="str">
        <x:v>Q3-T-013</x:v>
      </x:c>
      <x:c r="D26" s="12" t="n">
        <x:v>3690.05892162</x:v>
      </x:c>
      <x:c r="E26" s="12" t="n">
        <x:v>5991.11364043</x:v>
      </x:c>
      <x:c r="F26" s="12" t="n">
        <x:v>5991.11364043</x:v>
      </x:c>
      <x:c r="G26" s="20" t="n">
        <x:v>1</x:v>
      </x:c>
      <x:c r="H26" s="20" t="n">
        <x:v>0.230892483877</x:v>
      </x:c>
    </x:row>
    <x:row r="27" ht="23" customHeight="1">
      <x:c r="A27" s="7" t="str">
        <x:v>transport_battery</x:v>
      </x:c>
      <x:c r="B27" s="7" t="str">
        <x:v>BAT-C-04</x:v>
      </x:c>
      <x:c r="C27" s="7" t="str">
        <x:v>Q3-T-013</x:v>
      </x:c>
      <x:c r="D27" s="13" t="n">
        <x:v>3690.05892162</x:v>
      </x:c>
      <x:c r="E27" s="13" t="n">
        <x:v>5991.11364043</x:v>
      </x:c>
      <x:c r="F27" s="13" t="n">
        <x:v>8490.84659202</x:v>
      </x:c>
      <x:c r="G27" s="21" t="n">
        <x:v>1</x:v>
      </x:c>
      <x:c r="H27" s="21" t="n">
        <x:v>0.230892483877</x:v>
      </x:c>
    </x:row>
    <x:row r="28" ht="23" customHeight="1">
      <x:c r="A28" s="2" t="str">
        <x:v>transport_aircraft</x:v>
      </x:c>
      <x:c r="B28" s="2" t="str">
        <x:v>U06</x:v>
      </x:c>
      <x:c r="C28" s="2" t="str">
        <x:v>Q3-T-014</x:v>
      </x:c>
      <x:c r="D28" s="12" t="n">
        <x:v>2923.73586055</x:v>
      </x:c>
      <x:c r="E28" s="12" t="n">
        <x:v>4752.06342071</x:v>
      </x:c>
      <x:c r="F28" s="12" t="n">
        <x:v>4752.06342071</x:v>
      </x:c>
      <x:c r="G28" s="20" t="n">
        <x:v>1</x:v>
      </x:c>
      <x:c r="H28" s="20" t="n">
        <x:v>0.423117873579</x:v>
      </x:c>
    </x:row>
    <x:row r="29" ht="23" customHeight="1">
      <x:c r="A29" s="7" t="str">
        <x:v>transport_battery</x:v>
      </x:c>
      <x:c r="B29" s="7" t="str">
        <x:v>BAT-B-01</x:v>
      </x:c>
      <x:c r="C29" s="7" t="str">
        <x:v>Q3-T-014</x:v>
      </x:c>
      <x:c r="D29" s="13" t="n">
        <x:v>2923.73586055</x:v>
      </x:c>
      <x:c r="E29" s="13" t="n">
        <x:v>4752.06342071</x:v>
      </x:c>
      <x:c r="F29" s="13" t="n">
        <x:v>6418.65910651</x:v>
      </x:c>
      <x:c r="G29" s="21" t="n">
        <x:v>1</x:v>
      </x:c>
      <x:c r="H29" s="21" t="n">
        <x:v>0.423117873579</x:v>
      </x:c>
    </x:row>
    <x:row r="30" ht="23" customHeight="1">
      <x:c r="A30" s="2" t="str">
        <x:v>transport_aircraft</x:v>
      </x:c>
      <x:c r="B30" s="2" t="str">
        <x:v>U05</x:v>
      </x:c>
      <x:c r="C30" s="2" t="str">
        <x:v>Q3-T-015</x:v>
      </x:c>
      <x:c r="D30" s="12" t="n">
        <x:v>3337.88725055</x:v>
      </x:c>
      <x:c r="E30" s="12" t="n">
        <x:v>4896.35011497</x:v>
      </x:c>
      <x:c r="F30" s="12" t="n">
        <x:v>4896.35011497</x:v>
      </x:c>
      <x:c r="G30" s="20" t="n">
        <x:v>1</x:v>
      </x:c>
      <x:c r="H30" s="20" t="n">
        <x:v>0.475933649528</x:v>
      </x:c>
    </x:row>
    <x:row r="31" ht="23" customHeight="1">
      <x:c r="A31" s="7" t="str">
        <x:v>transport_battery</x:v>
      </x:c>
      <x:c r="B31" s="7" t="str">
        <x:v>BAT-B-02</x:v>
      </x:c>
      <x:c r="C31" s="7" t="str">
        <x:v>Q3-T-015</x:v>
      </x:c>
      <x:c r="D31" s="13" t="n">
        <x:v>3337.88725055</x:v>
      </x:c>
      <x:c r="E31" s="13" t="n">
        <x:v>4896.35011497</x:v>
      </x:c>
      <x:c r="F31" s="13" t="n">
        <x:v>6471.39845579</x:v>
      </x:c>
      <x:c r="G31" s="21" t="n">
        <x:v>1</x:v>
      </x:c>
      <x:c r="H31" s="21" t="n">
        <x:v>0.475933649528</x:v>
      </x:c>
    </x:row>
    <x:row r="32" ht="23" customHeight="1">
      <x:c r="A32" s="2" t="str">
        <x:v>transport_aircraft</x:v>
      </x:c>
      <x:c r="B32" s="2" t="str">
        <x:v>U08</x:v>
      </x:c>
      <x:c r="C32" s="2" t="str">
        <x:v>Q3-T-016</x:v>
      </x:c>
      <x:c r="D32" s="12" t="n">
        <x:v>4244.86433649</x:v>
      </x:c>
      <x:c r="E32" s="12" t="n">
        <x:v>6444.57586116</x:v>
      </x:c>
      <x:c r="F32" s="12" t="n">
        <x:v>6444.57586116</x:v>
      </x:c>
      <x:c r="G32" s="20" t="n">
        <x:v>1</x:v>
      </x:c>
      <x:c r="H32" s="20" t="n">
        <x:v>0.270497416483</x:v>
      </x:c>
    </x:row>
    <x:row r="33" ht="23" customHeight="1">
      <x:c r="A33" s="7" t="str">
        <x:v>transport_battery</x:v>
      </x:c>
      <x:c r="B33" s="7" t="str">
        <x:v>BAT-C-02</x:v>
      </x:c>
      <x:c r="C33" s="7" t="str">
        <x:v>Q3-T-016</x:v>
      </x:c>
      <x:c r="D33" s="13" t="n">
        <x:v>4244.86433649</x:v>
      </x:c>
      <x:c r="E33" s="13" t="n">
        <x:v>6444.57586116</x:v>
      </x:c>
      <x:c r="F33" s="13" t="n">
        <x:v>8858.49812545</x:v>
      </x:c>
      <x:c r="G33" s="21" t="n">
        <x:v>1</x:v>
      </x:c>
      <x:c r="H33" s="21" t="n">
        <x:v>0.270497416483</x:v>
      </x:c>
    </x:row>
    <x:row r="34" ht="23" customHeight="1">
      <x:c r="A34" s="2" t="str">
        <x:v>transport_aircraft</x:v>
      </x:c>
      <x:c r="B34" s="2" t="str">
        <x:v>U06</x:v>
      </x:c>
      <x:c r="C34" s="2" t="str">
        <x:v>Q3-T-017</x:v>
      </x:c>
      <x:c r="D34" s="12" t="n">
        <x:v>4752.06342071</x:v>
      </x:c>
      <x:c r="E34" s="12" t="n">
        <x:v>5940.48818355</x:v>
      </x:c>
      <x:c r="F34" s="12" t="n">
        <x:v>5940.48818355</x:v>
      </x:c>
      <x:c r="G34" s="20" t="n">
        <x:v>1</x:v>
      </x:c>
      <x:c r="H34" s="20" t="n">
        <x:v>0.731515828432</x:v>
      </x:c>
    </x:row>
    <x:row r="35" ht="23" customHeight="1">
      <x:c r="A35" s="7" t="str">
        <x:v>transport_battery</x:v>
      </x:c>
      <x:c r="B35" s="7" t="str">
        <x:v>BAT-B-03</x:v>
      </x:c>
      <x:c r="C35" s="7" t="str">
        <x:v>Q3-T-017</x:v>
      </x:c>
      <x:c r="D35" s="13" t="n">
        <x:v>4752.06342071</x:v>
      </x:c>
      <x:c r="E35" s="13" t="n">
        <x:v>5940.48818355</x:v>
      </x:c>
      <x:c r="F35" s="13" t="n">
        <x:v>7072.52741426</x:v>
      </x:c>
      <x:c r="G35" s="21" t="n">
        <x:v>1</x:v>
      </x:c>
      <x:c r="H35" s="21" t="n">
        <x:v>0.731515828432</x:v>
      </x:c>
    </x:row>
    <x:row r="36" ht="23" customHeight="1">
      <x:c r="A36" s="2" t="str">
        <x:v>transport_aircraft</x:v>
      </x:c>
      <x:c r="B36" s="2" t="str">
        <x:v>U07</x:v>
      </x:c>
      <x:c r="C36" s="2" t="str">
        <x:v>Q3-T-018</x:v>
      </x:c>
      <x:c r="D36" s="12" t="n">
        <x:v>5991.11364043</x:v>
      </x:c>
      <x:c r="E36" s="12" t="n">
        <x:v>7868.30235596</x:v>
      </x:c>
      <x:c r="F36" s="12" t="n">
        <x:v>7868.30235596</x:v>
      </x:c>
      <x:c r="G36" s="20" t="n">
        <x:v>1</x:v>
      </x:c>
      <x:c r="H36" s="20" t="n">
        <x:v>0.472232828328</x:v>
      </x:c>
    </x:row>
    <x:row r="37" ht="23" customHeight="1">
      <x:c r="A37" s="7" t="str">
        <x:v>transport_battery</x:v>
      </x:c>
      <x:c r="B37" s="7" t="str">
        <x:v>BAT-C-01</x:v>
      </x:c>
      <x:c r="C37" s="7" t="str">
        <x:v>Q3-T-018</x:v>
      </x:c>
      <x:c r="D37" s="13" t="n">
        <x:v>5991.11364043</x:v>
      </x:c>
      <x:c r="E37" s="13" t="n">
        <x:v>7868.30235596</x:v>
      </x:c>
      <x:c r="F37" s="13" t="n">
        <x:v>9845.13122791</x:v>
      </x:c>
      <x:c r="G37" s="21" t="n">
        <x:v>1</x:v>
      </x:c>
      <x:c r="H37" s="21" t="n">
        <x:v>0.472232828328</x:v>
      </x:c>
    </x:row>
    <x:row r="38" ht="23" customHeight="1">
      <x:c r="A38" s="2" t="str">
        <x:v>transport_aircraft</x:v>
      </x:c>
      <x:c r="B38" s="2" t="str">
        <x:v>U05</x:v>
      </x:c>
      <x:c r="C38" s="2" t="str">
        <x:v>Q3-T-019</x:v>
      </x:c>
      <x:c r="D38" s="12" t="n">
        <x:v>5197.34723082</x:v>
      </x:c>
      <x:c r="E38" s="12" t="n">
        <x:v>7217.95689592</x:v>
      </x:c>
      <x:c r="F38" s="12" t="n">
        <x:v>7217.95689592</x:v>
      </x:c>
      <x:c r="G38" s="20" t="n">
        <x:v>1</x:v>
      </x:c>
      <x:c r="H38" s="20" t="n">
        <x:v>0.393936149369</x:v>
      </x:c>
    </x:row>
    <x:row r="39" ht="23" customHeight="1">
      <x:c r="A39" s="7" t="str">
        <x:v>transport_battery</x:v>
      </x:c>
      <x:c r="B39" s="7" t="str">
        <x:v>BAT-B-04</x:v>
      </x:c>
      <x:c r="C39" s="7" t="str">
        <x:v>Q3-T-019</x:v>
      </x:c>
      <x:c r="D39" s="13" t="n">
        <x:v>5197.34723082</x:v>
      </x:c>
      <x:c r="E39" s="13" t="n">
        <x:v>7217.95689592</x:v>
      </x:c>
      <x:c r="F39" s="13" t="n">
        <x:v>8935.13423701</x:v>
      </x:c>
      <x:c r="G39" s="21" t="n">
        <x:v>1</x:v>
      </x:c>
      <x:c r="H39" s="21" t="n">
        <x:v>0.393936149369</x:v>
      </x:c>
    </x:row>
    <x:row r="40" ht="23" customHeight="1">
      <x:c r="A40" s="2" t="str">
        <x:v>transport_aircraft</x:v>
      </x:c>
      <x:c r="B40" s="2" t="str">
        <x:v>U07</x:v>
      </x:c>
      <x:c r="C40" s="2" t="str">
        <x:v>Q3-T-020</x:v>
      </x:c>
      <x:c r="D40" s="12" t="n">
        <x:v>7868.30235596</x:v>
      </x:c>
      <x:c r="E40" s="12" t="n">
        <x:v>9362.47740188</x:v>
      </x:c>
      <x:c r="F40" s="12" t="n">
        <x:v>9362.47740188</x:v>
      </x:c>
      <x:c r="G40" s="20" t="n">
        <x:v>1</x:v>
      </x:c>
      <x:c r="H40" s="20" t="n">
        <x:v>0.62552802433</x:v>
      </x:c>
    </x:row>
    <x:row r="41" ht="23" customHeight="1">
      <x:c r="A41" s="7" t="str">
        <x:v>transport_battery</x:v>
      </x:c>
      <x:c r="B41" s="7" t="str">
        <x:v>BAT-C-03</x:v>
      </x:c>
      <x:c r="C41" s="7" t="str">
        <x:v>Q3-T-020</x:v>
      </x:c>
      <x:c r="D41" s="13" t="n">
        <x:v>7868.30235596</x:v>
      </x:c>
      <x:c r="E41" s="13" t="n">
        <x:v>9362.47740188</x:v>
      </x:c>
      <x:c r="F41" s="13" t="n">
        <x:v>11007.1666825</x:v>
      </x:c>
      <x:c r="G41" s="21" t="n">
        <x:v>1</x:v>
      </x:c>
      <x:c r="H41" s="21" t="n">
        <x:v>0.62552802433</x:v>
      </x:c>
    </x:row>
    <x:row r="42" ht="23" customHeight="1">
      <x:c r="A42" s="2" t="str">
        <x:v>transport_aircraft</x:v>
      </x:c>
      <x:c r="B42" s="2" t="str">
        <x:v>U08</x:v>
      </x:c>
      <x:c r="C42" s="2" t="str">
        <x:v>Q3-T-021</x:v>
      </x:c>
      <x:c r="D42" s="12" t="n">
        <x:v>8490.84659202</x:v>
      </x:c>
      <x:c r="E42" s="12" t="n">
        <x:v>10904.4270418</x:v>
      </x:c>
      <x:c r="F42" s="12" t="n">
        <x:v>10904.4270418</x:v>
      </x:c>
      <x:c r="G42" s="20" t="n">
        <x:v>1</x:v>
      </x:c>
      <x:c r="H42" s="20" t="n">
        <x:v>0.463994107786</x:v>
      </x:c>
    </x:row>
    <x:row r="43" ht="23" customHeight="1">
      <x:c r="A43" s="7" t="str">
        <x:v>transport_battery</x:v>
      </x:c>
      <x:c r="B43" s="7" t="str">
        <x:v>BAT-C-04</x:v>
      </x:c>
      <x:c r="C43" s="7" t="str">
        <x:v>Q3-T-021</x:v>
      </x:c>
      <x:c r="D43" s="13" t="n">
        <x:v>8490.84659202</x:v>
      </x:c>
      <x:c r="E43" s="13" t="n">
        <x:v>10904.4270418</x:v>
      </x:c>
      <x:c r="F43" s="13" t="n">
        <x:v>12899.1064749</x:v>
      </x:c>
      <x:c r="G43" s="21" t="n">
        <x:v>1</x:v>
      </x:c>
      <x:c r="H43" s="21" t="n">
        <x:v>0.463994107786</x:v>
      </x:c>
    </x:row>
    <x:row r="44" ht="23" customHeight="1">
      <x:c r="A44" s="2" t="str">
        <x:v>transport_aircraft</x:v>
      </x:c>
      <x:c r="B44" s="2" t="str">
        <x:v>U07</x:v>
      </x:c>
      <x:c r="C44" s="2" t="str">
        <x:v>Q3-T-022</x:v>
      </x:c>
      <x:c r="D44" s="12" t="n">
        <x:v>9845.13122791</x:v>
      </x:c>
      <x:c r="E44" s="12" t="n">
        <x:v>11339.3062738</x:v>
      </x:c>
      <x:c r="F44" s="12" t="n">
        <x:v>11339.3062738</x:v>
      </x:c>
      <x:c r="G44" s="20" t="n">
        <x:v>1</x:v>
      </x:c>
      <x:c r="H44" s="20" t="n">
        <x:v>0.699371454733</x:v>
      </x:c>
    </x:row>
    <x:row r="45" ht="23" customHeight="1">
      <x:c r="A45" s="7" t="str">
        <x:v>transport_battery</x:v>
      </x:c>
      <x:c r="B45" s="7" t="str">
        <x:v>BAT-C-01</x:v>
      </x:c>
      <x:c r="C45" s="7" t="str">
        <x:v>Q3-T-022</x:v>
      </x:c>
      <x:c r="D45" s="13" t="n">
        <x:v>9845.13122791</x:v>
      </x:c>
      <x:c r="E45" s="13" t="n">
        <x:v>11339.3062738</x:v>
      </x:c>
      <x:c r="F45" s="13" t="n">
        <x:v>12824.0014553</x:v>
      </x:c>
      <x:c r="G45" s="21" t="n">
        <x:v>1</x:v>
      </x:c>
      <x:c r="H45" s="21" t="n">
        <x:v>0.699371454733</x:v>
      </x:c>
    </x:row>
    <x:row r="46" ht="23" customHeight="1">
      <x:c r="A46" s="2" t="str">
        <x:v>relay_aircraft</x:v>
      </x:c>
      <x:c r="B46" s="2" t="str">
        <x:v>R01</x:v>
      </x:c>
      <x:c r="C46" s="2" t="str">
        <x:v>Q3-R-001</x:v>
      </x:c>
      <x:c r="D46" s="12" t="n">
        <x:v>1</x:v>
      </x:c>
      <x:c r="E46" s="12" t="n">
        <x:v>3608.87268139</x:v>
      </x:c>
      <x:c r="F46" s="12" t="n">
        <x:v>3908.87268139</x:v>
      </x:c>
      <x:c r="G46" s="20" t="n">
        <x:v>1</x:v>
      </x:c>
      <x:c r="H46" s="20" t="n">
        <x:v>0.688281607964</x:v>
      </x:c>
    </x:row>
    <x:row r="47" ht="23" customHeight="1">
      <x:c r="A47" s="7" t="str">
        <x:v>relay_energy</x:v>
      </x:c>
      <x:c r="B47" s="7" t="str">
        <x:v>RE-R-01</x:v>
      </x:c>
      <x:c r="C47" s="7" t="str">
        <x:v>Q3-R-001</x:v>
      </x:c>
      <x:c r="D47" s="13" t="n">
        <x:v>1</x:v>
      </x:c>
      <x:c r="E47" s="13" t="n">
        <x:v>3608.87268139</x:v>
      </x:c>
      <x:c r="F47" s="13" t="n">
        <x:v>4514.10659103</x:v>
      </x:c>
      <x:c r="G47" s="21" t="n">
        <x:v>1</x:v>
      </x:c>
      <x:c r="H47" s="21" t="n">
        <x:v>0.688281607964</x:v>
      </x:c>
    </x:row>
    <x:row r="48" ht="23" customHeight="1">
      <x:c r="A48" s="2" t="str">
        <x:v>relay_aircraft</x:v>
      </x:c>
      <x:c r="B48" s="2" t="str">
        <x:v>R02</x:v>
      </x:c>
      <x:c r="C48" s="2" t="str">
        <x:v>Q3-R-002</x:v>
      </x:c>
      <x:c r="D48" s="12" t="n">
        <x:v>146.631332823</x:v>
      </x:c>
      <x:c r="E48" s="12" t="n">
        <x:v>1746.31795815</x:v>
      </x:c>
      <x:c r="F48" s="12" t="n">
        <x:v>2046.31795815</x:v>
      </x:c>
      <x:c r="G48" s="20" t="n">
        <x:v>1</x:v>
      </x:c>
      <x:c r="H48" s="20" t="n">
        <x:v>0.880249380326</x:v>
      </x:c>
    </x:row>
    <x:row r="49" ht="23" customHeight="1">
      <x:c r="A49" s="7" t="str">
        <x:v>relay_energy</x:v>
      </x:c>
      <x:c r="B49" s="7" t="str">
        <x:v>RE-R-02</x:v>
      </x:c>
      <x:c r="C49" s="7" t="str">
        <x:v>Q3-R-002</x:v>
      </x:c>
      <x:c r="D49" s="13" t="n">
        <x:v>146.631332823</x:v>
      </x:c>
      <x:c r="E49" s="13" t="n">
        <x:v>1746.31795815</x:v>
      </x:c>
      <x:c r="F49" s="13" t="n">
        <x:v>2401.99376373</x:v>
      </x:c>
      <x:c r="G49" s="21" t="n">
        <x:v>1</x:v>
      </x:c>
      <x:c r="H49" s="21" t="n">
        <x:v>0.880249380326</x:v>
      </x:c>
    </x:row>
    <x:row r="50" ht="23" customHeight="1">
      <x:c r="A50" s="2" t="str">
        <x:v>relay_aircraft</x:v>
      </x:c>
      <x:c r="B50" s="2" t="str">
        <x:v>R02</x:v>
      </x:c>
      <x:c r="C50" s="2" t="str">
        <x:v>Q3-R-003</x:v>
      </x:c>
      <x:c r="D50" s="12" t="n">
        <x:v>2047.31795815</x:v>
      </x:c>
      <x:c r="E50" s="12" t="n">
        <x:v>8019.43159858</x:v>
      </x:c>
      <x:c r="F50" s="12" t="n">
        <x:v>8319.43159858</x:v>
      </x:c>
      <x:c r="G50" s="20" t="n">
        <x:v>1</x:v>
      </x:c>
      <x:c r="H50" s="20" t="n">
        <x:v>0.462743328537</x:v>
      </x:c>
    </x:row>
    <x:row r="51" ht="23" customHeight="1">
      <x:c r="A51" s="7" t="str">
        <x:v>relay_energy</x:v>
      </x:c>
      <x:c r="B51" s="7" t="str">
        <x:v>RE-R-03</x:v>
      </x:c>
      <x:c r="C51" s="7" t="str">
        <x:v>Q3-R-003</x:v>
      </x:c>
      <x:c r="D51" s="13" t="n">
        <x:v>2047.31795815</x:v>
      </x:c>
      <x:c r="E51" s="13" t="n">
        <x:v>8019.43159858</x:v>
      </x:c>
      <x:c r="F51" s="13" t="n">
        <x:v>9217.86527148</x:v>
      </x:c>
      <x:c r="G51" s="21" t="n">
        <x:v>1</x:v>
      </x:c>
      <x:c r="H51" s="21" t="n">
        <x:v>0.462743328537</x:v>
      </x:c>
    </x:row>
    <x:row r="52" ht="23" customHeight="1">
      <x:c r="A52" s="2" t="str">
        <x:v>relay_aircraft</x:v>
      </x:c>
      <x:c r="B52" s="2" t="str">
        <x:v>R01</x:v>
      </x:c>
      <x:c r="C52" s="2" t="str">
        <x:v>Q3-R-004</x:v>
      </x:c>
      <x:c r="D52" s="12" t="n">
        <x:v>3909.87268139</x:v>
      </x:c>
      <x:c r="E52" s="12" t="n">
        <x:v>6055.15734599</x:v>
      </x:c>
      <x:c r="F52" s="12" t="n">
        <x:v>6355.15734599</x:v>
      </x:c>
      <x:c r="G52" s="20" t="n">
        <x:v>1</x:v>
      </x:c>
      <x:c r="H52" s="20" t="n">
        <x:v>0.825340673501</x:v>
      </x:c>
    </x:row>
    <x:row r="53" ht="23" customHeight="1">
      <x:c r="A53" s="7" t="str">
        <x:v>relay_energy</x:v>
      </x:c>
      <x:c r="B53" s="7" t="str">
        <x:v>RE-R-02</x:v>
      </x:c>
      <x:c r="C53" s="7" t="str">
        <x:v>Q3-R-004</x:v>
      </x:c>
      <x:c r="D53" s="13" t="n">
        <x:v>3909.87268139</x:v>
      </x:c>
      <x:c r="E53" s="13" t="n">
        <x:v>6055.15734599</x:v>
      </x:c>
      <x:c r="F53" s="13" t="n">
        <x:v>6782.21447044</x:v>
      </x:c>
      <x:c r="G53" s="21" t="n">
        <x:v>1</x:v>
      </x:c>
      <x:c r="H53" s="21" t="n">
        <x:v>0.825340673501</x:v>
      </x:c>
    </x:row>
    <x:row r="54" ht="23" customHeight="1">
      <x:c r="A54" s="2" t="str">
        <x:v>relay_aircraft</x:v>
      </x:c>
      <x:c r="B54" s="2" t="str">
        <x:v>R02</x:v>
      </x:c>
      <x:c r="C54" s="2" t="str">
        <x:v>Q3-R-005</x:v>
      </x:c>
      <x:c r="D54" s="12" t="n">
        <x:v>9213.47792484</x:v>
      </x:c>
      <x:c r="E54" s="12" t="n">
        <x:v>10951.1645502</x:v>
      </x:c>
      <x:c r="F54" s="12" t="n">
        <x:v>11251.1645502</x:v>
      </x:c>
      <x:c r="G54" s="20" t="n">
        <x:v>1</x:v>
      </x:c>
      <x:c r="H54" s="20" t="n">
        <x:v>0.867072296993</x:v>
      </x:c>
    </x:row>
    <x:row r="55" ht="23" customHeight="1">
      <x:c r="A55" s="7" t="str">
        <x:v>relay_energy</x:v>
      </x:c>
      <x:c r="B55" s="7" t="str">
        <x:v>RE-R-02</x:v>
      </x:c>
      <x:c r="C55" s="7" t="str">
        <x:v>Q3-R-005</x:v>
      </x:c>
      <x:c r="D55" s="13" t="n">
        <x:v>9213.47792484</x:v>
      </x:c>
      <x:c r="E55" s="13" t="n">
        <x:v>10951.1645502</x:v>
      </x:c>
      <x:c r="F55" s="13" t="n">
        <x:v>11623.9705641</x:v>
      </x:c>
      <x:c r="G55" s="21" t="n">
        <x:v>1</x:v>
      </x:c>
      <x:c r="H55" s="21" t="n">
        <x:v>0.867072296993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8BB5AE"/>
  </x:sheetPr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  <x:col min="7" max="7" width="17" hidden="0" customWidth="1"/>
    <x:col min="8" max="8" width="22" hidden="0" customWidth="1"/>
    <x:col min="9" max="9" width="22" hidden="0" customWidth="1"/>
    <x:col min="10" max="10" width="20" hidden="0" customWidth="1"/>
    <x:col min="11" max="11" width="20" hidden="0" customWidth="1"/>
    <x:col min="12" max="12" width="17" hidden="0" customWidth="1"/>
    <x:col min="13" max="13" width="16" hidden="0" customWidth="1"/>
    <x:col min="14" max="14" width="15" hidden="0" customWidth="1"/>
    <x:col min="15" max="15" width="20" hidden="0" customWidth="1"/>
    <x:col min="16" max="16" width="15" hidden="0" customWidth="1"/>
  </x:cols>
  <x:sheetData>
    <x:row r="1" ht="40" customHeight="1">
      <x:c r="A1" s="6" t="str">
        <x:v>policy</x:v>
      </x:c>
      <x:c r="B1" s="6" t="str">
        <x:v>merge_gap_s</x:v>
      </x:c>
      <x:c r="C1" s="6" t="str">
        <x:v>hard_violations</x:v>
      </x:c>
      <x:c r="D1" s="6" t="str">
        <x:v>max_hard_lateness_s</x:v>
      </x:c>
      <x:c r="E1" s="6" t="str">
        <x:v>weighted_tardiness</x:v>
      </x:c>
      <x:c r="F1" s="6" t="str">
        <x:v>weighted_delivery_ratio</x:v>
      </x:c>
      <x:c r="G1" s="6" t="str">
        <x:v>on_time_boxes</x:v>
      </x:c>
      <x:c r="H1" s="6" t="str">
        <x:v>joint_makespan_s</x:v>
      </x:c>
      <x:c r="I1" s="6" t="str">
        <x:v>transport_energy_kwh</x:v>
      </x:c>
      <x:c r="J1" s="6" t="str">
        <x:v>relay_energy_kwh</x:v>
      </x:c>
      <x:c r="K1" s="6" t="str">
        <x:v>total_energy_kwh</x:v>
      </x:c>
      <x:c r="L1" s="6" t="str">
        <x:v>transport_trips</x:v>
      </x:c>
      <x:c r="M1" s="6" t="str">
        <x:v>relay_trips</x:v>
      </x:c>
      <x:c r="N1" s="6" t="str">
        <x:v>total_trips</x:v>
      </x:c>
      <x:c r="O1" s="6" t="str">
        <x:v>transport_shift_s</x:v>
      </x:c>
      <x:c r="P1" s="6" t="str">
        <x:v>hover_sites</x:v>
      </x:c>
    </x:row>
    <x:row r="2" ht="23" customHeight="1">
      <x:c r="A2" s="2" t="str">
        <x:v>balanced</x:v>
      </x:c>
      <x:c r="B2" s="8" t="n">
        <x:v>0</x:v>
      </x:c>
      <x:c r="C2" s="8" t="n">
        <x:v>0</x:v>
      </x:c>
      <x:c r="D2" s="8" t="n">
        <x:v>0</x:v>
      </x:c>
      <x:c r="E2" s="8" t="n">
        <x:v>299.633618094</x:v>
      </x:c>
      <x:c r="F2" s="8" t="n">
        <x:v>0.936749752436</x:v>
      </x:c>
      <x:c r="G2" s="8" t="n">
        <x:v>61</x:v>
      </x:c>
      <x:c r="H2" s="8" t="n">
        <x:v>13360.5907865</x:v>
      </x:c>
      <x:c r="I2" s="8" t="n">
        <x:v>67.3048970885</x:v>
      </x:c>
      <x:c r="J2" s="8" t="n">
        <x:v>4.48191344256</x:v>
      </x:c>
      <x:c r="K2" s="8" t="n">
        <x:v>71.786810531</x:v>
      </x:c>
      <x:c r="L2" s="8" t="n">
        <x:v>22</x:v>
      </x:c>
      <x:c r="M2" s="8" t="n">
        <x:v>8</x:v>
      </x:c>
      <x:c r="N2" s="8" t="n">
        <x:v>30</x:v>
      </x:c>
      <x:c r="O2" s="8" t="n">
        <x:v>3417.56931229</x:v>
      </x:c>
      <x:c r="P2" s="8" t="n">
        <x:v>3</x:v>
      </x:c>
    </x:row>
    <x:row r="3" ht="23" customHeight="1">
      <x:c r="A3" s="7" t="str">
        <x:v>balanced</x:v>
      </x:c>
      <x:c r="B3" s="9" t="n">
        <x:v>180</x:v>
      </x:c>
      <x:c r="C3" s="9" t="n">
        <x:v>4</x:v>
      </x:c>
      <x:c r="D3" s="9" t="n">
        <x:v>227.659583128</x:v>
      </x:c>
      <x:c r="E3" s="9" t="n">
        <x:v>300.285883826</x:v>
      </x:c>
      <x:c r="F3" s="9" t="n">
        <x:v>0.939978115951</x:v>
      </x:c>
      <x:c r="G3" s="9" t="n">
        <x:v>58</x:v>
      </x:c>
      <x:c r="H3" s="9" t="n">
        <x:v>13339.801927</x:v>
      </x:c>
      <x:c r="I3" s="9" t="n">
        <x:v>67.3048970885</x:v>
      </x:c>
      <x:c r="J3" s="9" t="n">
        <x:v>4.49012591583</x:v>
      </x:c>
      <x:c r="K3" s="9" t="n">
        <x:v>71.7950230043</x:v>
      </x:c>
      <x:c r="L3" s="9" t="n">
        <x:v>22</x:v>
      </x:c>
      <x:c r="M3" s="9" t="n">
        <x:v>8</x:v>
      </x:c>
      <x:c r="N3" s="9" t="n">
        <x:v>30</x:v>
      </x:c>
      <x:c r="O3" s="9" t="n">
        <x:v>3396.78045284</x:v>
      </x:c>
      <x:c r="P3" s="9" t="n">
        <x:v>3</x:v>
      </x:c>
    </x:row>
    <x:row r="4" ht="23" customHeight="1">
      <x:c r="A4" s="2" t="str">
        <x:v>balanced</x:v>
      </x:c>
      <x:c r="B4" s="8" t="n">
        <x:v>360</x:v>
      </x:c>
      <x:c r="C4" s="8" t="n">
        <x:v>0</x:v>
      </x:c>
      <x:c r="D4" s="8" t="n">
        <x:v>0</x:v>
      </x:c>
      <x:c r="E4" s="8" t="n">
        <x:v>250.473531946</x:v>
      </x:c>
      <x:c r="F4" s="8" t="n">
        <x:v>0.830120720902</x:v>
      </x:c>
      <x:c r="G4" s="8" t="n">
        <x:v>63</x:v>
      </x:c>
      <x:c r="H4" s="8" t="n">
        <x:v>12248.8563591</x:v>
      </x:c>
      <x:c r="I4" s="8" t="n">
        <x:v>67.3048970885</x:v>
      </x:c>
      <x:c r="J4" s="8" t="n">
        <x:v>4.14627598131</x:v>
      </x:c>
      <x:c r="K4" s="8" t="n">
        <x:v>71.4511730698</x:v>
      </x:c>
      <x:c r="L4" s="8" t="n">
        <x:v>22</x:v>
      </x:c>
      <x:c r="M4" s="8" t="n">
        <x:v>6</x:v>
      </x:c>
      <x:c r="N4" s="8" t="n">
        <x:v>28</x:v>
      </x:c>
      <x:c r="O4" s="8" t="n">
        <x:v>2305.83488497</x:v>
      </x:c>
      <x:c r="P4" s="8" t="n">
        <x:v>3</x:v>
      </x:c>
    </x:row>
    <x:row r="5" ht="23" customHeight="1">
      <x:c r="A5" s="7" t="str">
        <x:v>balanced</x:v>
      </x:c>
      <x:c r="B5" s="9" t="n">
        <x:v>600</x:v>
      </x:c>
      <x:c r="C5" s="9" t="n">
        <x:v>0</x:v>
      </x:c>
      <x:c r="D5" s="9" t="n">
        <x:v>0</x:v>
      </x:c>
      <x:c r="E5" s="9" t="n">
        <x:v>223.906417518</x:v>
      </x:c>
      <x:c r="F5" s="9" t="n">
        <x:v>0.79077558145</x:v>
      </x:c>
      <x:c r="G5" s="9" t="n">
        <x:v>63</x:v>
      </x:c>
      <x:c r="H5" s="9" t="n">
        <x:v>11323.8968198</x:v>
      </x:c>
      <x:c r="I5" s="9" t="n">
        <x:v>67.3048970885</x:v>
      </x:c>
      <x:c r="J5" s="9" t="n">
        <x:v>4.06788112516</x:v>
      </x:c>
      <x:c r="K5" s="9" t="n">
        <x:v>71.3727782137</x:v>
      </x:c>
      <x:c r="L5" s="9" t="n">
        <x:v>22</x:v>
      </x:c>
      <x:c r="M5" s="9" t="n">
        <x:v>5</x:v>
      </x:c>
      <x:c r="N5" s="9" t="n">
        <x:v>27</x:v>
      </x:c>
      <x:c r="O5" s="9" t="n">
        <x:v>1566.80730148</x:v>
      </x:c>
      <x:c r="P5" s="9" t="n">
        <x:v>3</x:v>
      </x:c>
    </x:row>
    <x:row r="6" ht="23" customHeight="1">
      <x:c r="A6" s="2" t="str">
        <x:v>timely</x:v>
      </x:c>
      <x:c r="B6" s="8" t="n">
        <x:v>0</x:v>
      </x:c>
      <x:c r="C6" s="8" t="n">
        <x:v>4</x:v>
      </x:c>
      <x:c r="D6" s="8" t="n">
        <x:v>1208.43485467</x:v>
      </x:c>
      <x:c r="E6" s="8" t="n">
        <x:v>174.091435988</x:v>
      </x:c>
      <x:c r="F6" s="8" t="n">
        <x:v>0.847859633755</x:v>
      </x:c>
      <x:c r="G6" s="8" t="n">
        <x:v>65</x:v>
      </x:c>
      <x:c r="H6" s="8" t="n">
        <x:v>11349.7436768</x:v>
      </x:c>
      <x:c r="I6" s="8" t="n">
        <x:v>60.940670617</x:v>
      </x:c>
      <x:c r="J6" s="8" t="n">
        <x:v>4.74244307967</x:v>
      </x:c>
      <x:c r="K6" s="8" t="n">
        <x:v>65.6831136967</x:v>
      </x:c>
      <x:c r="L6" s="8" t="n">
        <x:v>17</x:v>
      </x:c>
      <x:c r="M6" s="8" t="n">
        <x:v>9</x:v>
      </x:c>
      <x:c r="N6" s="8" t="n">
        <x:v>26</x:v>
      </x:c>
      <x:c r="O6" s="8" t="n">
        <x:v>1806.63890735</x:v>
      </x:c>
      <x:c r="P6" s="8" t="n">
        <x:v>3</x:v>
      </x:c>
    </x:row>
    <x:row r="7" ht="23" customHeight="1">
      <x:c r="A7" s="7" t="str">
        <x:v>timely</x:v>
      </x:c>
      <x:c r="B7" s="9" t="n">
        <x:v>180</x:v>
      </x:c>
      <x:c r="C7" s="9" t="n">
        <x:v>2</x:v>
      </x:c>
      <x:c r="D7" s="9" t="n">
        <x:v>1171.93719251</x:v>
      </x:c>
      <x:c r="E7" s="9" t="n">
        <x:v>172.21288091</x:v>
      </x:c>
      <x:c r="F7" s="9" t="n">
        <x:v>0.842860606328</x:v>
      </x:c>
      <x:c r="G7" s="9" t="n">
        <x:v>66</x:v>
      </x:c>
      <x:c r="H7" s="9" t="n">
        <x:v>11304.2950435</x:v>
      </x:c>
      <x:c r="I7" s="9" t="n">
        <x:v>60.940670617</x:v>
      </x:c>
      <x:c r="J7" s="9" t="n">
        <x:v>4.69987853017</x:v>
      </x:c>
      <x:c r="K7" s="9" t="n">
        <x:v>65.6405491472</x:v>
      </x:c>
      <x:c r="L7" s="9" t="n">
        <x:v>17</x:v>
      </x:c>
      <x:c r="M7" s="9" t="n">
        <x:v>9</x:v>
      </x:c>
      <x:c r="N7" s="9" t="n">
        <x:v>26</x:v>
      </x:c>
      <x:c r="O7" s="9" t="n">
        <x:v>1682.64124519</x:v>
      </x:c>
      <x:c r="P7" s="9" t="n">
        <x:v>3</x:v>
      </x:c>
    </x:row>
    <x:row r="8" ht="23" customHeight="1">
      <x:c r="A8" s="2" t="str">
        <x:v>timely</x:v>
      </x:c>
      <x:c r="B8" s="8" t="n">
        <x:v>360</x:v>
      </x:c>
      <x:c r="C8" s="8" t="n">
        <x:v>4</x:v>
      </x:c>
      <x:c r="D8" s="8" t="n">
        <x:v>1208.43485467</x:v>
      </x:c>
      <x:c r="E8" s="8" t="n">
        <x:v>174.091435988</x:v>
      </x:c>
      <x:c r="F8" s="8" t="n">
        <x:v>0.847859633755</x:v>
      </x:c>
      <x:c r="G8" s="8" t="n">
        <x:v>65</x:v>
      </x:c>
      <x:c r="H8" s="8" t="n">
        <x:v>11349.7436768</x:v>
      </x:c>
      <x:c r="I8" s="8" t="n">
        <x:v>60.940670617</x:v>
      </x:c>
      <x:c r="J8" s="8" t="n">
        <x:v>4.74244307967</x:v>
      </x:c>
      <x:c r="K8" s="8" t="n">
        <x:v>65.6831136967</x:v>
      </x:c>
      <x:c r="L8" s="8" t="n">
        <x:v>17</x:v>
      </x:c>
      <x:c r="M8" s="8" t="n">
        <x:v>9</x:v>
      </x:c>
      <x:c r="N8" s="8" t="n">
        <x:v>26</x:v>
      </x:c>
      <x:c r="O8" s="8" t="n">
        <x:v>1806.63890735</x:v>
      </x:c>
      <x:c r="P8" s="8" t="n">
        <x:v>3</x:v>
      </x:c>
    </x:row>
    <x:row r="9" ht="23" customHeight="1">
      <x:c r="A9" s="7" t="str">
        <x:v>timely</x:v>
      </x:c>
      <x:c r="B9" s="9" t="n">
        <x:v>600</x:v>
      </x:c>
      <x:c r="C9" s="9" t="n">
        <x:v>4</x:v>
      </x:c>
      <x:c r="D9" s="9" t="n">
        <x:v>1314.68485467</x:v>
      </x:c>
      <x:c r="E9" s="9" t="n">
        <x:v>176.600116544</x:v>
      </x:c>
      <x:c r="F9" s="9" t="n">
        <x:v>0.852273667291</x:v>
      </x:c>
      <x:c r="G9" s="9" t="n">
        <x:v>65</x:v>
      </x:c>
      <x:c r="H9" s="9" t="n">
        <x:v>11412.7690169</x:v>
      </x:c>
      <x:c r="I9" s="9" t="n">
        <x:v>60.940670617</x:v>
      </x:c>
      <x:c r="J9" s="9" t="n">
        <x:v>4.76911625965</x:v>
      </x:c>
      <x:c r="K9" s="9" t="n">
        <x:v>65.7097868767</x:v>
      </x:c>
      <x:c r="L9" s="9" t="n">
        <x:v>17</x:v>
      </x:c>
      <x:c r="M9" s="9" t="n">
        <x:v>9</x:v>
      </x:c>
      <x:c r="N9" s="9" t="n">
        <x:v>26</x:v>
      </x:c>
      <x:c r="O9" s="9" t="n">
        <x:v>1912.88890735</x:v>
      </x:c>
      <x:c r="P9" s="9" t="n">
        <x:v>3</x:v>
      </x:c>
    </x:row>
    <x:row r="10" ht="23" customHeight="1">
      <x:c r="A10" s="2" t="str">
        <x:v>balanced_refined_2s</x:v>
      </x:c>
      <x:c r="B10" s="8" t="n">
        <x:v>600</x:v>
      </x:c>
      <x:c r="C10" s="8" t="n">
        <x:v>0</x:v>
      </x:c>
      <x:c r="D10" s="8" t="n">
        <x:v>0</x:v>
      </x:c>
      <x:c r="E10" s="8" t="n">
        <x:v>224.549904906</x:v>
      </x:c>
      <x:c r="F10" s="8" t="n">
        <x:v>0.792510410309</x:v>
      </x:c>
      <x:c r="G10" s="8" t="n">
        <x:v>63</x:v>
      </x:c>
      <x:c r="H10" s="8" t="n">
        <x:v>11339.3062738</x:v>
      </x:c>
      <x:c r="I10" s="8" t="n">
        <x:v>67.3048970885</x:v>
      </x:c>
      <x:c r="J10" s="8" t="n">
        <x:v>4.08420068057</x:v>
      </x:c>
      <x:c r="K10" s="8" t="n">
        <x:v>71.3890977691</x:v>
      </x:c>
      <x:c r="L10" s="8" t="n">
        <x:v>22</x:v>
      </x:c>
      <x:c r="M10" s="8" t="n">
        <x:v>5</x:v>
      </x:c>
      <x:c r="N10" s="8" t="n">
        <x:v>27</x:v>
      </x:c>
      <x:c r="O10" s="8" t="n">
        <x:v>1582.21675557</x:v>
      </x:c>
      <x:c r="P10" s="8" t="n">
        <x:v>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8BB5AE"/>
  </x:sheetPr>
  <x:sheetViews>
    <x:sheetView showGridLines="0" workbookViewId="0"/>
  </x:sheetViews>
  <x:sheetFormatPr defaultRowHeight="15"/>
  <x:cols>
    <x:col min="1" max="1" width="26" hidden="0" customWidth="1"/>
    <x:col min="2" max="2" width="112" hidden="0" customWidth="1"/>
  </x:cols>
  <x:sheetData>
    <x:row r="1" ht="40" customHeight="1">
      <x:c r="A1" s="6" t="str">
        <x:v>项目</x:v>
      </x:c>
      <x:c r="B1" s="6" t="str">
        <x:v>说明</x:v>
      </x:c>
    </x:row>
    <x:row r="2" ht="50" customHeight="1">
      <x:c r="A2" s="2" t="str">
        <x:v>通信门限</x:v>
      </x:c>
      <x:c r="B2" s="10" t="str">
        <x:v>直连122dB、运输机—中继接入116dB、中继—G01回传126dB；采用双向链路较小门限。</x:v>
      </x:c>
    </x:row>
    <x:row r="3" ht="50" customHeight="1">
      <x:c r="A3" s="7" t="str">
        <x:v>遮挡与损耗</x:v>
      </x:c>
      <x:c r="B3" s="11" t="str">
        <x:v>30m DEM视线判断；FSPL加10dB遮挡损耗。主方案以2秒网格重建窗口，独立验证使用30m视线采样。</x:v>
      </x:c>
    </x:row>
    <x:row r="4" ht="50" customHeight="1">
      <x:c r="A4" s="2" t="str">
        <x:v>运输时间</x:v>
      </x:c>
      <x:c r="B4" s="10" t="str">
        <x:v>从准备开始计；通信从起飞开始覆盖爬升、巡航、下降及交接；联合完成时间取两类无人机最后返航。</x:v>
      </x:c>
    </x:row>
    <x:row r="5" ht="50" customHeight="1">
      <x:c r="A5" s="7" t="str">
        <x:v>中继时间</x:v>
      </x:c>
      <x:c r="B5" s="11" t="str">
        <x:v>准备180s、建链30s；返航后300s周转约束下次出动，但不计入联合完成时刻。</x:v>
      </x:c>
    </x:row>
    <x:row r="6" ht="50" customHeight="1">
      <x:c r="A6" s="2" t="str">
        <x:v>中继能耗</x:v>
      </x:c>
      <x:c r="B6" s="10" t="str">
        <x:v>巡航功率×水平时间 + 正爬升势能 +（悬停功率+通信功率）×服务时间；返航SOC不低于20%。</x:v>
      </x:c>
    </x:row>
    <x:row r="7" ht="50" customHeight="1">
      <x:c r="A7" s="7" t="str">
        <x:v>能源周转</x:v>
      </x:c>
      <x:c r="B7" s="11" t="str">
        <x:v>运输电池和中继能源组件均须在再次使用前按两阶段模型充至100%，不同组件可并行充电。</x:v>
      </x:c>
    </x:row>
    <x:row r="8" ht="50" customHeight="1">
      <x:c r="A8" s="2" t="str">
        <x:v>及时性</x:v>
      </x:c>
      <x:c r="B8" s="10" t="str">
        <x:v>医疗期望和首批截止为硬时限；其他期望时刻进入加权迟到和加权交付比例。</x:v>
      </x:c>
    </x:row>
    <x:row r="9" ht="50" customHeight="1">
      <x:c r="A9" s="7" t="str">
        <x:v>求解方法</x:v>
      </x:c>
      <x:c r="B9" s="11" t="str">
        <x:v>运输候选比较、悬停候选生成、集合覆盖、随机邻域指派、窗口合并、离散事件资源修复。</x:v>
      </x:c>
    </x:row>
    <x:row r="10" ht="50" customHeight="1">
      <x:c r="A10" s="2" t="str">
        <x:v>验证</x:v>
      </x:c>
      <x:c r="B10" s="10" t="str">
        <x:v>独立验证16项全部通过；通信采样15480点，中断0点。</x:v>
      </x:c>
    </x:row>
  </x:sheetData>
  <x:pageMargins left="0.7" right="0.7" top="0.75" bottom="0.75" header="0.3" footer="0.3"/>
</x:worksheet>
</file>