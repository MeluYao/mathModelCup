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f1e8d8718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ea88c4123f254bbe"/>
    <x:sheet xmlns:r="http://schemas.openxmlformats.org/officeDocument/2006/relationships" name="Q2_运输架次" sheetId="2" r:id="Rcf6b13a432f445fb"/>
    <x:sheet xmlns:r="http://schemas.openxmlformats.org/officeDocument/2006/relationships" name="Q2_逐箱交付" sheetId="3" r:id="R27d3c3e6732943c2"/>
    <x:sheet xmlns:r="http://schemas.openxmlformats.org/officeDocument/2006/relationships" name="路线分段" sheetId="4" r:id="R12b0dd0df6514df1"/>
    <x:sheet xmlns:r="http://schemas.openxmlformats.org/officeDocument/2006/relationships" name="资源使用" sheetId="5" r:id="Rf7f21a46209b4f5d"/>
    <x:sheet xmlns:r="http://schemas.openxmlformats.org/officeDocument/2006/relationships" name="目标对照" sheetId="6" r:id="R98180e9b445b416c"/>
    <x:sheet xmlns:r="http://schemas.openxmlformats.org/officeDocument/2006/relationships" name="计算口径" sheetId="7" r:id="R7906e82a6cd3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.0000%"/>
    <x:numFmt numFmtId="203" formatCode="0.00%"/>
  </x:numFmts>
  <x:fonts count="6">
    <x:font>
      <x:sz val="11"/>
      <x:name val="Carlito"/>
    </x:font>
    <x:font>
      <x:sz val="10"/>
      <x:color rgb="FF203247"/>
      <x:name val="Microsoft YaHei"/>
    </x:font>
    <x:font>
      <x:b/>
      <x:sz val="10"/>
      <x:color rgb="FFFFFFFF"/>
      <x:name val="Microsoft YaHei"/>
    </x:font>
    <x:font>
      <x:b/>
      <x:sz val="17"/>
      <x:color rgb="FF173B44"/>
      <x:name val="Microsoft YaHei"/>
    </x:font>
    <x:font>
      <x:b/>
      <x:sz val="12"/>
      <x:color rgb="FF173B44"/>
      <x:name val="Microsoft YaHei"/>
    </x:font>
    <x:font>
      <x:b/>
      <x:sz val="10"/>
      <x:color rgb="FF255B6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55B68"/>
      </x:patternFill>
    </x:fill>
    <x:fill>
      <x:patternFill patternType="solid">
        <x:fgColor rgb="FFEFF5F4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73d5daed640f1" /><Relationship Type="http://schemas.openxmlformats.org/officeDocument/2006/relationships/theme" Target="/xl/theme/theme1.xml" Id="Rd21d3361fa2d4de0" /><Relationship Type="http://schemas.openxmlformats.org/officeDocument/2006/relationships/sharedStrings" Target="/xl/sharedStrings.xml" Id="R6fc4f7b3d8e94d35" /><Relationship Type="http://schemas.openxmlformats.org/officeDocument/2006/relationships/worksheet" Target="/xl/worksheets/sheet1.xml" Id="Rea88c4123f254bbe" /><Relationship Type="http://schemas.openxmlformats.org/officeDocument/2006/relationships/worksheet" Target="/xl/worksheets/sheet2.xml" Id="Rcf6b13a432f445fb" /><Relationship Type="http://schemas.openxmlformats.org/officeDocument/2006/relationships/worksheet" Target="/xl/worksheets/sheet3.xml" Id="R27d3c3e6732943c2" /><Relationship Type="http://schemas.openxmlformats.org/officeDocument/2006/relationships/worksheet" Target="/xl/worksheets/sheet4.xml" Id="R12b0dd0df6514df1" /><Relationship Type="http://schemas.openxmlformats.org/officeDocument/2006/relationships/worksheet" Target="/xl/worksheets/sheet5.xml" Id="Rf7f21a46209b4f5d" /><Relationship Type="http://schemas.openxmlformats.org/officeDocument/2006/relationships/worksheet" Target="/xl/worksheets/sheet6.xml" Id="R98180e9b445b416c" /><Relationship Type="http://schemas.openxmlformats.org/officeDocument/2006/relationships/worksheet" Target="/xl/worksheets/sheet7.xml" Id="R7906e82a6cd3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5B68"/>
  </x:sheetPr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</x:cols>
  <x:sheetData>
    <x:row r="2">
      <x:c r="A2" s="16" t="str">
        <x:v>问题二多点配送优化结果</x:v>
      </x:c>
    </x:row>
    <x:row r="4" ht="38" customHeight="1">
      <x:c r="A4" s="6" t="str">
        <x:v>指标</x:v>
      </x:c>
      <x:c r="B4" s="6" t="str">
        <x:v>主方案数值</x:v>
      </x:c>
      <x:c r="C4" s="6" t="str">
        <x:v>单位</x:v>
      </x:c>
    </x:row>
    <x:row r="5" ht="23" customHeight="1">
      <x:c r="A5" s="2" t="str">
        <x:v>硬时限违反</x:v>
      </x:c>
      <x:c r="B5" s="10" t="n">
        <x:v>0</x:v>
      </x:c>
      <x:c r="C5" s="2" t="str">
        <x:v>箱</x:v>
      </x:c>
    </x:row>
    <x:row r="6" ht="23" customHeight="1">
      <x:c r="A6" s="7" t="str">
        <x:v>交付货箱</x:v>
      </x:c>
      <x:c r="B6" s="11" t="n">
        <x:f>COUNTA('Q2_逐箱交付'!A2:A81)</x:f>
        <x:v>80</x:v>
      </x:c>
      <x:c r="C6" s="7" t="str">
        <x:v>箱</x:v>
      </x:c>
    </x:row>
    <x:row r="7" ht="23" customHeight="1">
      <x:c r="A7" s="2" t="str">
        <x:v>期望时间内交付</x:v>
      </x:c>
      <x:c r="B7" s="10" t="n">
        <x:v>65</x:v>
      </x:c>
      <x:c r="C7" s="2" t="str">
        <x:v>箱</x:v>
      </x:c>
    </x:row>
    <x:row r="8" ht="23" customHeight="1">
      <x:c r="A8" s="7" t="str">
        <x:v>运输架次数</x:v>
      </x:c>
      <x:c r="B8" s="11" t="n">
        <x:f>COUNTA('Q2_运输架次'!A2:A23)</x:f>
        <x:v>22</x:v>
      </x:c>
      <x:c r="C8" s="7" t="str">
        <x:v>次</x:v>
      </x:c>
    </x:row>
    <x:row r="9" ht="23" customHeight="1">
      <x:c r="A9" s="2" t="str">
        <x:v>全部任务完成时间</x:v>
      </x:c>
      <x:c r="B9" s="10" t="n">
        <x:f>MAX('Q2_运输架次'!G2:G23)</x:f>
        <x:v>9943.02147417</x:v>
      </x:c>
      <x:c r="C9" s="2" t="str">
        <x:v>s</x:v>
      </x:c>
    </x:row>
    <x:row r="10" ht="23" customHeight="1">
      <x:c r="A10" s="7" t="str">
        <x:v>全部任务完成时间</x:v>
      </x:c>
      <x:c r="B10" s="11" t="n">
        <x:f>B9/3600</x:f>
        <x:v>2.761950409491667</x:v>
      </x:c>
      <x:c r="C10" s="7" t="str">
        <x:v>h</x:v>
      </x:c>
    </x:row>
    <x:row r="11" ht="23" customHeight="1">
      <x:c r="A11" s="2" t="str">
        <x:v>总运输能耗</x:v>
      </x:c>
      <x:c r="B11" s="10" t="n">
        <x:f>SUM('Q2_运输架次'!H2:H23)</x:f>
        <x:v>67.30489708869999</x:v>
      </x:c>
      <x:c r="C11" s="2" t="str">
        <x:v>kWh</x:v>
      </x:c>
    </x:row>
    <x:row r="12" ht="23" customHeight="1">
      <x:c r="A12" s="7" t="str">
        <x:v>加权迟到指标</x:v>
      </x:c>
      <x:c r="B12" s="11" t="n">
        <x:v>167.64024820858674</x:v>
      </x:c>
      <x:c r="C12" s="7" t="str">
        <x:v>—</x:v>
      </x:c>
    </x:row>
    <x:row r="13" ht="23" customHeight="1">
      <x:c r="A13" s="2" t="str">
        <x:v>加权交付比例</x:v>
      </x:c>
      <x:c r="B13" s="10" t="n">
        <x:v>0.7030414315855584</x:v>
      </x:c>
      <x:c r="C13" s="2" t="str">
        <x:v>—</x:v>
      </x:c>
    </x:row>
    <x:row r="14" ht="23" customHeight="1">
      <x:c r="A14" s="7" t="str">
        <x:v>最低返航SOC</x:v>
      </x:c>
      <x:c r="B14" s="17" t="n">
        <x:f>MIN('资源使用'!I2:I45)</x:f>
        <x:v>0.2094375761</x:v>
      </x:c>
      <x:c r="C14" s="7" t="str">
        <x:v>%</x:v>
      </x:c>
    </x:row>
    <x:row r="15" ht="23" customHeight="1">
      <x:c r="A15" s="2" t="str">
        <x:v>使用实体飞机</x:v>
      </x:c>
      <x:c r="B15" s="10" t="n">
        <x:v>8</x:v>
      </x:c>
      <x:c r="C15" s="2" t="str">
        <x:v>架</x:v>
      </x:c>
    </x:row>
    <x:row r="16" ht="23" customHeight="1">
      <x:c r="A16" s="7" t="str">
        <x:v>使用电池</x:v>
      </x:c>
      <x:c r="B16" s="11" t="n">
        <x:v>13</x:v>
      </x:c>
      <x:c r="C16" s="7" t="str">
        <x:v>组</x:v>
      </x:c>
    </x:row>
    <x:row r="17" ht="23" customHeight="1">
      <x:c r="A17" s="2" t="str">
        <x:v>独立校验</x:v>
      </x:c>
      <x:c r="B17" s="10" t="str">
        <x:v>全部通过</x:v>
      </x:c>
      <x:c r="C17" s="2" t="str">
        <x:v>96项</x:v>
      </x:c>
    </x:row>
    <x:row r="20">
      <x:c r="A20" s="18" t="str">
        <x:v>方案选择</x:v>
      </x:c>
    </x:row>
    <x:row r="21" ht="42" customHeight="1">
      <x:c r="A21" s="20" t="str">
        <x:v>优先级</x:v>
      </x:c>
      <x:c r="B21" s="19" t="str">
        <x:v>硬时限必须满足；随后比较及时性、最晚返航、能耗和架次数。</x:v>
      </x:c>
      <x:c r="C21" s="19" t="str"/>
    </x:row>
    <x:row r="22" ht="42" customHeight="1">
      <x:c r="A22" s="20" t="str">
        <x:v>折中规则</x:v>
      </x:c>
      <x:c r="B22" s="19" t="str">
        <x:v>在已搜索非支配候选集中，对交付比、最晚返航、能耗、架次归一化，取等权理想点距离最小方案。</x:v>
      </x:c>
      <x:c r="C22" s="19" t="str"/>
    </x:row>
    <x:row r="23" ht="42" customHeight="1">
      <x:c r="A23" s="20" t="str">
        <x:v>边界结论</x:v>
      </x:c>
      <x:c r="B23" s="19" t="str">
        <x:v>17架次仍可满足全部硬时限；16架次出现2箱硬时限延误，最大约55.054秒。</x:v>
      </x:c>
      <x:c r="C23" s="19" t="str"/>
    </x:row>
    <x:row r="24" ht="42" customHeight="1">
      <x:c r="A24" s="20" t="str">
        <x:v>适用说明</x:v>
      </x:c>
      <x:c r="B24" s="19" t="str">
        <x:v>组合优化采用可复现启发式搜索，非支配性限于已搜索候选集。</x:v>
      </x:c>
      <x:c r="C24" s="1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2" hidden="0" customWidth="1"/>
    <x:col min="4" max="4" width="17" hidden="0" customWidth="1"/>
    <x:col min="5" max="5" width="18" hidden="0" customWidth="1"/>
    <x:col min="6" max="6" width="28" hidden="0" customWidth="1"/>
    <x:col min="7" max="7" width="22" hidden="0" customWidth="1"/>
    <x:col min="8" max="8" width="20" hidden="0" customWidth="1"/>
  </x:cols>
  <x:sheetData>
    <x:row r="1" ht="38" customHeight="1">
      <x:c r="A1" s="6" t="str">
        <x:v>架次编号</x:v>
      </x:c>
      <x:c r="B1" s="6" t="str">
        <x:v>无人机编号</x:v>
      </x:c>
      <x:c r="C1" s="6" t="str">
        <x:v>机型编号</x:v>
      </x:c>
      <x:c r="D1" s="6" t="str">
        <x:v>电池编号</x:v>
      </x:c>
      <x:c r="E1" s="6" t="str">
        <x:v>开始时刻（s）</x:v>
      </x:c>
      <x:c r="F1" s="6" t="str">
        <x:v>访问服务区顺序</x:v>
      </x:c>
      <x:c r="G1" s="6" t="str">
        <x:v>返回O01时刻（s）</x:v>
      </x:c>
      <x:c r="H1" s="6" t="str">
        <x:v>架次能耗（kWh）</x:v>
      </x:c>
    </x:row>
    <x:row r="2" ht="23" customHeight="1">
      <x:c r="A2" s="2" t="str">
        <x:v>Q2-001</x:v>
      </x:c>
      <x:c r="B2" s="2" t="str">
        <x:v>U01</x:v>
      </x:c>
      <x:c r="C2" s="2" t="str">
        <x:v>A</x:v>
      </x:c>
      <x:c r="D2" s="2" t="str">
        <x:v>BAT-A-01</x:v>
      </x:c>
      <x:c r="E2" s="8" t="n">
        <x:v>0</x:v>
      </x:c>
      <x:c r="F2" s="2" t="str">
        <x:v>S007</x:v>
      </x:c>
      <x:c r="G2" s="10" t="n">
        <x:v>1727.46688583</x:v>
      </x:c>
      <x:c r="H2" s="10" t="n">
        <x:v>1.9053833003</x:v>
      </x:c>
    </x:row>
    <x:row r="3" ht="23" customHeight="1">
      <x:c r="A3" s="7" t="str">
        <x:v>Q2-002</x:v>
      </x:c>
      <x:c r="B3" s="7" t="str">
        <x:v>U02</x:v>
      </x:c>
      <x:c r="C3" s="7" t="str">
        <x:v>A</x:v>
      </x:c>
      <x:c r="D3" s="7" t="str">
        <x:v>BAT-A-02</x:v>
      </x:c>
      <x:c r="E3" s="9" t="n">
        <x:v>0</x:v>
      </x:c>
      <x:c r="F3" s="7" t="str">
        <x:v>S014</x:v>
      </x:c>
      <x:c r="G3" s="11" t="n">
        <x:v>1990.39888529</x:v>
      </x:c>
      <x:c r="H3" s="11" t="n">
        <x:v>2.2908783476</x:v>
      </x:c>
    </x:row>
    <x:row r="4" ht="23" customHeight="1">
      <x:c r="A4" s="2" t="str">
        <x:v>Q2-003</x:v>
      </x:c>
      <x:c r="B4" s="2" t="str">
        <x:v>U03</x:v>
      </x:c>
      <x:c r="C4" s="2" t="str">
        <x:v>A</x:v>
      </x:c>
      <x:c r="D4" s="2" t="str">
        <x:v>BAT-A-03</x:v>
      </x:c>
      <x:c r="E4" s="8" t="n">
        <x:v>0</x:v>
      </x:c>
      <x:c r="F4" s="2" t="str">
        <x:v>S002</x:v>
      </x:c>
      <x:c r="G4" s="10" t="n">
        <x:v>2003.77520846</x:v>
      </x:c>
      <x:c r="H4" s="10" t="n">
        <x:v>2.9200176847</x:v>
      </x:c>
    </x:row>
    <x:row r="5" ht="23" customHeight="1">
      <x:c r="A5" s="7" t="str">
        <x:v>Q2-004</x:v>
      </x:c>
      <x:c r="B5" s="7" t="str">
        <x:v>U04</x:v>
      </x:c>
      <x:c r="C5" s="7" t="str">
        <x:v>A</x:v>
      </x:c>
      <x:c r="D5" s="7" t="str">
        <x:v>BAT-A-04</x:v>
      </x:c>
      <x:c r="E5" s="9" t="n">
        <x:v>0</x:v>
      </x:c>
      <x:c r="F5" s="7" t="str">
        <x:v>S010</x:v>
      </x:c>
      <x:c r="G5" s="11" t="n">
        <x:v>1594.89266991</x:v>
      </x:c>
      <x:c r="H5" s="11" t="n">
        <x:v>1.8679649735</x:v>
      </x:c>
    </x:row>
    <x:row r="6" ht="23" customHeight="1">
      <x:c r="A6" s="2" t="str">
        <x:v>Q2-005</x:v>
      </x:c>
      <x:c r="B6" s="2" t="str">
        <x:v>U05</x:v>
      </x:c>
      <x:c r="C6" s="2" t="str">
        <x:v>B</x:v>
      </x:c>
      <x:c r="D6" s="2" t="str">
        <x:v>BAT-B-01</x:v>
      </x:c>
      <x:c r="E6" s="8" t="n">
        <x:v>0</x:v>
      </x:c>
      <x:c r="F6" s="2" t="str">
        <x:v>S001</x:v>
      </x:c>
      <x:c r="G6" s="10" t="n">
        <x:v>1209.10617589</x:v>
      </x:c>
      <x:c r="H6" s="10" t="n">
        <x:v>1.0739722578</x:v>
      </x:c>
    </x:row>
    <x:row r="7" ht="23" customHeight="1">
      <x:c r="A7" s="7" t="str">
        <x:v>Q2-006</x:v>
      </x:c>
      <x:c r="B7" s="7" t="str">
        <x:v>U06</x:v>
      </x:c>
      <x:c r="C7" s="7" t="str">
        <x:v>B</x:v>
      </x:c>
      <x:c r="D7" s="7" t="str">
        <x:v>BAT-B-02</x:v>
      </x:c>
      <x:c r="E7" s="9" t="n">
        <x:v>0</x:v>
      </x:c>
      <x:c r="F7" s="7" t="str">
        <x:v>S006</x:v>
      </x:c>
      <x:c r="G7" s="11" t="n">
        <x:v>1207.27001136</x:v>
      </x:c>
      <x:c r="H7" s="11" t="n">
        <x:v>1.0987472953</x:v>
      </x:c>
    </x:row>
    <x:row r="8" ht="23" customHeight="1">
      <x:c r="A8" s="2" t="str">
        <x:v>Q2-007</x:v>
      </x:c>
      <x:c r="B8" s="2" t="str">
        <x:v>U07</x:v>
      </x:c>
      <x:c r="C8" s="2" t="str">
        <x:v>C</x:v>
      </x:c>
      <x:c r="D8" s="2" t="str">
        <x:v>BAT-C-01</x:v>
      </x:c>
      <x:c r="E8" s="8" t="n">
        <x:v>0</x:v>
      </x:c>
      <x:c r="F8" s="2" t="str">
        <x:v>S002</x:v>
      </x:c>
      <x:c r="G8" s="10" t="n">
        <x:v>2107.84216605</x:v>
      </x:c>
      <x:c r="H8" s="10" t="n">
        <x:v>6.1057969528</x:v>
      </x:c>
    </x:row>
    <x:row r="9" ht="23" customHeight="1">
      <x:c r="A9" s="7" t="str">
        <x:v>Q2-008</x:v>
      </x:c>
      <x:c r="B9" s="7" t="str">
        <x:v>U08</x:v>
      </x:c>
      <x:c r="C9" s="7" t="str">
        <x:v>C</x:v>
      </x:c>
      <x:c r="D9" s="7" t="str">
        <x:v>BAT-C-02</x:v>
      </x:c>
      <x:c r="E9" s="9" t="n">
        <x:v>0</x:v>
      </x:c>
      <x:c r="F9" s="7" t="str">
        <x:v>S010</x:v>
      </x:c>
      <x:c r="G9" s="11" t="n">
        <x:v>1602.73236492</x:v>
      </x:c>
      <x:c r="H9" s="11" t="n">
        <x:v>3.1498606462</x:v>
      </x:c>
    </x:row>
    <x:row r="10" ht="23" customHeight="1">
      <x:c r="A10" s="2" t="str">
        <x:v>Q2-009</x:v>
      </x:c>
      <x:c r="B10" s="2" t="str">
        <x:v>U06</x:v>
      </x:c>
      <x:c r="C10" s="2" t="str">
        <x:v>B</x:v>
      </x:c>
      <x:c r="D10" s="2" t="str">
        <x:v>BAT-B-03</x:v>
      </x:c>
      <x:c r="E10" s="8" t="n">
        <x:v>1207.27001136</x:v>
      </x:c>
      <x:c r="F10" s="2" t="str">
        <x:v>S013</x:v>
      </x:c>
      <x:c r="G10" s="10" t="n">
        <x:v>2717.78160014</x:v>
      </x:c>
      <x:c r="H10" s="10" t="n">
        <x:v>1.8248281912</x:v>
      </x:c>
    </x:row>
    <x:row r="11" ht="23" customHeight="1">
      <x:c r="A11" s="7" t="str">
        <x:v>Q2-010</x:v>
      </x:c>
      <x:c r="B11" s="7" t="str">
        <x:v>U05</x:v>
      </x:c>
      <x:c r="C11" s="7" t="str">
        <x:v>B</x:v>
      </x:c>
      <x:c r="D11" s="7" t="str">
        <x:v>BAT-B-04</x:v>
      </x:c>
      <x:c r="E11" s="9" t="n">
        <x:v>1209.10617589</x:v>
      </x:c>
      <x:c r="F11" s="7" t="str">
        <x:v>S012</x:v>
      </x:c>
      <x:c r="G11" s="11" t="n">
        <x:v>3131.93299014</x:v>
      </x:c>
      <x:c r="H11" s="11" t="n">
        <x:v>2.7525999545</x:v>
      </x:c>
    </x:row>
    <x:row r="12" ht="23" customHeight="1">
      <x:c r="A12" s="2" t="str">
        <x:v>Q2-011</x:v>
      </x:c>
      <x:c r="B12" s="2" t="str">
        <x:v>U04</x:v>
      </x:c>
      <x:c r="C12" s="2" t="str">
        <x:v>A</x:v>
      </x:c>
      <x:c r="D12" s="2" t="str">
        <x:v>BAT-A-05</x:v>
      </x:c>
      <x:c r="E12" s="8" t="n">
        <x:v>1594.89266991</x:v>
      </x:c>
      <x:c r="F12" s="2" t="str">
        <x:v>S014</x:v>
      </x:c>
      <x:c r="G12" s="10" t="n">
        <x:v>3525.2915552</x:v>
      </x:c>
      <x:c r="H12" s="10" t="n">
        <x:v>2.1884926216</x:v>
      </x:c>
    </x:row>
    <x:row r="13" ht="23" customHeight="1">
      <x:c r="A13" s="7" t="str">
        <x:v>Q2-012</x:v>
      </x:c>
      <x:c r="B13" s="7" t="str">
        <x:v>U08</x:v>
      </x:c>
      <x:c r="C13" s="7" t="str">
        <x:v>C</x:v>
      </x:c>
      <x:c r="D13" s="7" t="str">
        <x:v>BAT-C-03</x:v>
      </x:c>
      <x:c r="E13" s="9" t="n">
        <x:v>1602.73236492</x:v>
      </x:c>
      <x:c r="F13" s="7" t="str">
        <x:v>S003</x:v>
      </x:c>
      <x:c r="G13" s="11" t="n">
        <x:v>4038.91007608</x:v>
      </x:c>
      <x:c r="H13" s="11" t="n">
        <x:v>6.3244993911</x:v>
      </x:c>
    </x:row>
    <x:row r="14" ht="23" customHeight="1">
      <x:c r="A14" s="2" t="str">
        <x:v>Q2-013</x:v>
      </x:c>
      <x:c r="B14" s="2" t="str">
        <x:v>U07</x:v>
      </x:c>
      <x:c r="C14" s="2" t="str">
        <x:v>C</x:v>
      </x:c>
      <x:c r="D14" s="2" t="str">
        <x:v>BAT-C-04</x:v>
      </x:c>
      <x:c r="E14" s="8" t="n">
        <x:v>2107.84216605</x:v>
      </x:c>
      <x:c r="F14" s="2" t="str">
        <x:v>S004</x:v>
      </x:c>
      <x:c r="G14" s="10" t="n">
        <x:v>4408.89688486</x:v>
      </x:c>
      <x:c r="H14" s="10" t="n">
        <x:v>6.152860129</x:v>
      </x:c>
    </x:row>
    <x:row r="15" ht="23" customHeight="1">
      <x:c r="A15" s="7" t="str">
        <x:v>Q2-014</x:v>
      </x:c>
      <x:c r="B15" s="7" t="str">
        <x:v>U06</x:v>
      </x:c>
      <x:c r="C15" s="7" t="str">
        <x:v>B</x:v>
      </x:c>
      <x:c r="D15" s="7" t="str">
        <x:v>BAT-B-01</x:v>
      </x:c>
      <x:c r="E15" s="9" t="n">
        <x:v>2717.78160014</x:v>
      </x:c>
      <x:c r="F15" s="7" t="str">
        <x:v>S015</x:v>
      </x:c>
      <x:c r="G15" s="11" t="n">
        <x:v>4546.1091603</x:v>
      </x:c>
      <x:c r="H15" s="11" t="n">
        <x:v>2.3075285057</x:v>
      </x:c>
    </x:row>
    <x:row r="16" ht="23" customHeight="1">
      <x:c r="A16" s="2" t="str">
        <x:v>Q2-015</x:v>
      </x:c>
      <x:c r="B16" s="2" t="str">
        <x:v>U05</x:v>
      </x:c>
      <x:c r="C16" s="2" t="str">
        <x:v>B</x:v>
      </x:c>
      <x:c r="D16" s="2" t="str">
        <x:v>BAT-B-02</x:v>
      </x:c>
      <x:c r="E16" s="8" t="n">
        <x:v>3131.93299014</x:v>
      </x:c>
      <x:c r="F16" s="2" t="str">
        <x:v>S009</x:v>
      </x:c>
      <x:c r="G16" s="10" t="n">
        <x:v>4690.39585456</x:v>
      </x:c>
      <x:c r="H16" s="10" t="n">
        <x:v>2.0962654019</x:v>
      </x:c>
    </x:row>
    <x:row r="17" ht="23" customHeight="1">
      <x:c r="A17" s="7" t="str">
        <x:v>Q2-016</x:v>
      </x:c>
      <x:c r="B17" s="7" t="str">
        <x:v>U08</x:v>
      </x:c>
      <x:c r="C17" s="7" t="str">
        <x:v>C</x:v>
      </x:c>
      <x:c r="D17" s="7" t="str">
        <x:v>BAT-C-02</x:v>
      </x:c>
      <x:c r="E17" s="9" t="n">
        <x:v>4038.91007608</x:v>
      </x:c>
      <x:c r="F17" s="7" t="str">
        <x:v>S008</x:v>
      </x:c>
      <x:c r="G17" s="11" t="n">
        <x:v>6238.62160075</x:v>
      </x:c>
      <x:c r="H17" s="11" t="n">
        <x:v>5.8360206681</x:v>
      </x:c>
    </x:row>
    <x:row r="18" ht="23" customHeight="1">
      <x:c r="A18" s="2" t="str">
        <x:v>Q2-017</x:v>
      </x:c>
      <x:c r="B18" s="2" t="str">
        <x:v>U06</x:v>
      </x:c>
      <x:c r="C18" s="2" t="str">
        <x:v>B</x:v>
      </x:c>
      <x:c r="D18" s="2" t="str">
        <x:v>BAT-B-03</x:v>
      </x:c>
      <x:c r="E18" s="8" t="n">
        <x:v>4546.1091603</x:v>
      </x:c>
      <x:c r="F18" s="2" t="str">
        <x:v>S011</x:v>
      </x:c>
      <x:c r="G18" s="10" t="n">
        <x:v>5734.53392314</x:v>
      </x:c>
      <x:c r="H18" s="10" t="n">
        <x:v>1.0739366863</x:v>
      </x:c>
    </x:row>
    <x:row r="19" ht="23" customHeight="1">
      <x:c r="A19" s="7" t="str">
        <x:v>Q2-018</x:v>
      </x:c>
      <x:c r="B19" s="7" t="str">
        <x:v>U07</x:v>
      </x:c>
      <x:c r="C19" s="7" t="str">
        <x:v>C</x:v>
      </x:c>
      <x:c r="D19" s="7" t="str">
        <x:v>BAT-C-01</x:v>
      </x:c>
      <x:c r="E19" s="9" t="n">
        <x:v>4594.82884076</x:v>
      </x:c>
      <x:c r="F19" s="7" t="str">
        <x:v>S005</x:v>
      </x:c>
      <x:c r="G19" s="11" t="n">
        <x:v>6472.01755629</x:v>
      </x:c>
      <x:c r="H19" s="11" t="n">
        <x:v>4.2221373734</x:v>
      </x:c>
    </x:row>
    <x:row r="20" ht="23" customHeight="1">
      <x:c r="A20" s="2" t="str">
        <x:v>Q2-019</x:v>
      </x:c>
      <x:c r="B20" s="2" t="str">
        <x:v>U05</x:v>
      </x:c>
      <x:c r="C20" s="2" t="str">
        <x:v>B</x:v>
      </x:c>
      <x:c r="D20" s="2" t="str">
        <x:v>BAT-B-04</x:v>
      </x:c>
      <x:c r="E20" s="8" t="n">
        <x:v>4991.39297041</x:v>
      </x:c>
      <x:c r="F20" s="2" t="str">
        <x:v>S003</x:v>
      </x:c>
      <x:c r="G20" s="10" t="n">
        <x:v>7012.00263551</x:v>
      </x:c>
      <x:c r="H20" s="10" t="n">
        <x:v>2.4242554025</x:v>
      </x:c>
    </x:row>
    <x:row r="21" ht="23" customHeight="1">
      <x:c r="A21" s="7" t="str">
        <x:v>Q2-020</x:v>
      </x:c>
      <x:c r="B21" s="7" t="str">
        <x:v>U07</x:v>
      </x:c>
      <x:c r="C21" s="7" t="str">
        <x:v>C</x:v>
      </x:c>
      <x:c r="D21" s="7" t="str">
        <x:v>BAT-C-03</x:v>
      </x:c>
      <x:c r="E21" s="9" t="n">
        <x:v>6585.12866116</x:v>
      </x:c>
      <x:c r="F21" s="7" t="str">
        <x:v>S001</x:v>
      </x:c>
      <x:c r="G21" s="11" t="n">
        <x:v>8079.30370708</x:v>
      </x:c>
      <x:c r="H21" s="11" t="n">
        <x:v>2.9957758054</x:v>
      </x:c>
    </x:row>
    <x:row r="22" ht="23" customHeight="1">
      <x:c r="A22" s="2" t="str">
        <x:v>Q2-021</x:v>
      </x:c>
      <x:c r="B22" s="2" t="str">
        <x:v>U08</x:v>
      </x:c>
      <x:c r="C22" s="2" t="str">
        <x:v>C</x:v>
      </x:c>
      <x:c r="D22" s="2" t="str">
        <x:v>BAT-C-04</x:v>
      </x:c>
      <x:c r="E22" s="8" t="n">
        <x:v>6908.62983645</x:v>
      </x:c>
      <x:c r="F22" s="2" t="str">
        <x:v>S006-S007</x:v>
      </x:c>
      <x:c r="G22" s="10" t="n">
        <x:v>9322.21028622</x:v>
      </x:c>
      <x:c r="H22" s="10" t="n">
        <x:v>4.2880471377</x:v>
      </x:c>
    </x:row>
    <x:row r="23" ht="23" customHeight="1">
      <x:c r="A23" s="7" t="str">
        <x:v>Q2-022</x:v>
      </x:c>
      <x:c r="B23" s="7" t="str">
        <x:v>U07</x:v>
      </x:c>
      <x:c r="C23" s="7" t="str">
        <x:v>C</x:v>
      </x:c>
      <x:c r="D23" s="7" t="str">
        <x:v>BAT-C-01</x:v>
      </x:c>
      <x:c r="E23" s="9" t="n">
        <x:v>8448.84642824</x:v>
      </x:c>
      <x:c r="F23" s="7" t="str">
        <x:v>S001</x:v>
      </x:c>
      <x:c r="G23" s="11" t="n">
        <x:v>9943.02147417</x:v>
      </x:c>
      <x:c r="H23" s="11" t="n">
        <x:v>2.4050283621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4" hidden="0" customWidth="1"/>
  </x:cols>
  <x:sheetData>
    <x:row r="1" ht="38" customHeight="1">
      <x:c r="A1" s="6" t="str">
        <x:v>货箱编号</x:v>
      </x:c>
      <x:c r="B1" s="6" t="str">
        <x:v>架次编号</x:v>
      </x:c>
      <x:c r="C1" s="6" t="str">
        <x:v>服务区编号</x:v>
      </x:c>
      <x:c r="D1" s="6" t="str">
        <x:v>交付完成时刻（s）</x:v>
      </x:c>
    </x:row>
    <x:row r="2" ht="23" customHeight="1">
      <x:c r="A2" s="2" t="str">
        <x:v>S006-MED-01</x:v>
      </x:c>
      <x:c r="B2" s="2" t="str">
        <x:v>Q2-006</x:v>
      </x:c>
      <x:c r="C2" s="2" t="str">
        <x:v>S006</x:v>
      </x:c>
      <x:c r="D2" s="8" t="n">
        <x:v>882.398339011</x:v>
      </x:c>
    </x:row>
    <x:row r="3" ht="23" customHeight="1">
      <x:c r="A3" s="7" t="str">
        <x:v>S006-WAT-01</x:v>
      </x:c>
      <x:c r="B3" s="7" t="str">
        <x:v>Q2-006</x:v>
      </x:c>
      <x:c r="C3" s="7" t="str">
        <x:v>S006</x:v>
      </x:c>
      <x:c r="D3" s="9" t="n">
        <x:v>882.398339011</x:v>
      </x:c>
    </x:row>
    <x:row r="4" ht="23" customHeight="1">
      <x:c r="A4" s="2" t="str">
        <x:v>S001-MED-01</x:v>
      </x:c>
      <x:c r="B4" s="2" t="str">
        <x:v>Q2-005</x:v>
      </x:c>
      <x:c r="C4" s="2" t="str">
        <x:v>S001</x:v>
      </x:c>
      <x:c r="D4" s="8" t="n">
        <x:v>917.676421277</x:v>
      </x:c>
    </x:row>
    <x:row r="5" ht="23" customHeight="1">
      <x:c r="A5" s="7" t="str">
        <x:v>S001-MED-02</x:v>
      </x:c>
      <x:c r="B5" s="7" t="str">
        <x:v>Q2-005</x:v>
      </x:c>
      <x:c r="C5" s="7" t="str">
        <x:v>S001</x:v>
      </x:c>
      <x:c r="D5" s="9" t="n">
        <x:v>917.676421277</x:v>
      </x:c>
    </x:row>
    <x:row r="6" ht="23" customHeight="1">
      <x:c r="A6" s="2" t="str">
        <x:v>S001-WAT-01</x:v>
      </x:c>
      <x:c r="B6" s="2" t="str">
        <x:v>Q2-005</x:v>
      </x:c>
      <x:c r="C6" s="2" t="str">
        <x:v>S001</x:v>
      </x:c>
      <x:c r="D6" s="8" t="n">
        <x:v>917.676421277</x:v>
      </x:c>
    </x:row>
    <x:row r="7" ht="23" customHeight="1">
      <x:c r="A7" s="7" t="str">
        <x:v>S010-FOD-01</x:v>
      </x:c>
      <x:c r="B7" s="7" t="str">
        <x:v>Q2-004</x:v>
      </x:c>
      <x:c r="C7" s="7" t="str">
        <x:v>S010</x:v>
      </x:c>
      <x:c r="D7" s="9" t="n">
        <x:v>1044.98300162</x:v>
      </x:c>
    </x:row>
    <x:row r="8" ht="23" customHeight="1">
      <x:c r="A8" s="2" t="str">
        <x:v>S010-MED-01</x:v>
      </x:c>
      <x:c r="B8" s="2" t="str">
        <x:v>Q2-008</x:v>
      </x:c>
      <x:c r="C8" s="2" t="str">
        <x:v>S010</x:v>
      </x:c>
      <x:c r="D8" s="8" t="n">
        <x:v>1096.17118246</x:v>
      </x:c>
    </x:row>
    <x:row r="9" ht="23" customHeight="1">
      <x:c r="A9" s="7" t="str">
        <x:v>S010-WAT-01</x:v>
      </x:c>
      <x:c r="B9" s="7" t="str">
        <x:v>Q2-008</x:v>
      </x:c>
      <x:c r="C9" s="7" t="str">
        <x:v>S010</x:v>
      </x:c>
      <x:c r="D9" s="9" t="n">
        <x:v>1096.17118246</x:v>
      </x:c>
    </x:row>
    <x:row r="10" ht="23" customHeight="1">
      <x:c r="A10" s="2" t="str">
        <x:v>S007-MED-01</x:v>
      </x:c>
      <x:c r="B10" s="2" t="str">
        <x:v>Q2-001</x:v>
      </x:c>
      <x:c r="C10" s="2" t="str">
        <x:v>S007</x:v>
      </x:c>
      <x:c r="D10" s="8" t="n">
        <x:v>1141.37344292</x:v>
      </x:c>
    </x:row>
    <x:row r="11" ht="23" customHeight="1">
      <x:c r="A11" s="7" t="str">
        <x:v>S007-WAT-01</x:v>
      </x:c>
      <x:c r="B11" s="7" t="str">
        <x:v>Q2-001</x:v>
      </x:c>
      <x:c r="C11" s="7" t="str">
        <x:v>S007</x:v>
      </x:c>
      <x:c r="D11" s="9" t="n">
        <x:v>1141.37344292</x:v>
      </x:c>
    </x:row>
    <x:row r="12" ht="23" customHeight="1">
      <x:c r="A12" s="2" t="str">
        <x:v>S014-MED-01</x:v>
      </x:c>
      <x:c r="B12" s="2" t="str">
        <x:v>Q2-002</x:v>
      </x:c>
      <x:c r="C12" s="2" t="str">
        <x:v>S014</x:v>
      </x:c>
      <x:c r="D12" s="8" t="n">
        <x:v>1272.75610931</x:v>
      </x:c>
    </x:row>
    <x:row r="13" ht="23" customHeight="1">
      <x:c r="A13" s="7" t="str">
        <x:v>S014-WAT-01</x:v>
      </x:c>
      <x:c r="B13" s="7" t="str">
        <x:v>Q2-002</x:v>
      </x:c>
      <x:c r="C13" s="7" t="str">
        <x:v>S014</x:v>
      </x:c>
      <x:c r="D13" s="9" t="n">
        <x:v>1272.75610931</x:v>
      </x:c>
    </x:row>
    <x:row r="14" ht="23" customHeight="1">
      <x:c r="A14" s="2" t="str">
        <x:v>S002-MED-01</x:v>
      </x:c>
      <x:c r="B14" s="2" t="str">
        <x:v>Q2-003</x:v>
      </x:c>
      <x:c r="C14" s="2" t="str">
        <x:v>S002</x:v>
      </x:c>
      <x:c r="D14" s="8" t="n">
        <x:v>1283.82760423</x:v>
      </x:c>
    </x:row>
    <x:row r="15" ht="23" customHeight="1">
      <x:c r="A15" s="7" t="str">
        <x:v>S002-WAT-01</x:v>
      </x:c>
      <x:c r="B15" s="7" t="str">
        <x:v>Q2-003</x:v>
      </x:c>
      <x:c r="C15" s="7" t="str">
        <x:v>S002</x:v>
      </x:c>
      <x:c r="D15" s="9" t="n">
        <x:v>1283.82760423</x:v>
      </x:c>
    </x:row>
    <x:row r="16" ht="23" customHeight="1">
      <x:c r="A16" s="2" t="str">
        <x:v>S002-FOD-01</x:v>
      </x:c>
      <x:c r="B16" s="2" t="str">
        <x:v>Q2-007</x:v>
      </x:c>
      <x:c r="C16" s="2" t="str">
        <x:v>S002</x:v>
      </x:c>
      <x:c r="D16" s="8" t="n">
        <x:v>1487.33108302</x:v>
      </x:c>
    </x:row>
    <x:row r="17" ht="23" customHeight="1">
      <x:c r="A17" s="7" t="str">
        <x:v>S002-FOD-02</x:v>
      </x:c>
      <x:c r="B17" s="7" t="str">
        <x:v>Q2-007</x:v>
      </x:c>
      <x:c r="C17" s="7" t="str">
        <x:v>S002</x:v>
      </x:c>
      <x:c r="D17" s="9" t="n">
        <x:v>1487.33108302</x:v>
      </x:c>
    </x:row>
    <x:row r="18" ht="23" customHeight="1">
      <x:c r="A18" s="2" t="str">
        <x:v>S002-HYG-01</x:v>
      </x:c>
      <x:c r="B18" s="2" t="str">
        <x:v>Q2-007</x:v>
      </x:c>
      <x:c r="C18" s="2" t="str">
        <x:v>S002</x:v>
      </x:c>
      <x:c r="D18" s="8" t="n">
        <x:v>1487.33108302</x:v>
      </x:c>
    </x:row>
    <x:row r="19" ht="23" customHeight="1">
      <x:c r="A19" s="7" t="str">
        <x:v>S002-WAT-02</x:v>
      </x:c>
      <x:c r="B19" s="7" t="str">
        <x:v>Q2-007</x:v>
      </x:c>
      <x:c r="C19" s="7" t="str">
        <x:v>S002</x:v>
      </x:c>
      <x:c r="D19" s="9" t="n">
        <x:v>1487.33108302</x:v>
      </x:c>
    </x:row>
    <x:row r="20" ht="23" customHeight="1">
      <x:c r="A20" s="2" t="str">
        <x:v>S002-WAT-03</x:v>
      </x:c>
      <x:c r="B20" s="2" t="str">
        <x:v>Q2-007</x:v>
      </x:c>
      <x:c r="C20" s="2" t="str">
        <x:v>S002</x:v>
      </x:c>
      <x:c r="D20" s="8" t="n">
        <x:v>1487.33108302</x:v>
      </x:c>
    </x:row>
    <x:row r="21" ht="23" customHeight="1">
      <x:c r="A21" s="7" t="str">
        <x:v>S002-WAT-04</x:v>
      </x:c>
      <x:c r="B21" s="7" t="str">
        <x:v>Q2-007</x:v>
      </x:c>
      <x:c r="C21" s="7" t="str">
        <x:v>S002</x:v>
      </x:c>
      <x:c r="D21" s="9" t="n">
        <x:v>1487.33108302</x:v>
      </x:c>
    </x:row>
    <x:row r="22" ht="23" customHeight="1">
      <x:c r="A22" s="2" t="str">
        <x:v>S013-FOD-01</x:v>
      </x:c>
      <x:c r="B22" s="2" t="str">
        <x:v>Q2-009</x:v>
      </x:c>
      <x:c r="C22" s="2" t="str">
        <x:v>S013</x:v>
      </x:c>
      <x:c r="D22" s="8" t="n">
        <x:v>2270.05913908</x:v>
      </x:c>
    </x:row>
    <x:row r="23" ht="23" customHeight="1">
      <x:c r="A23" s="7" t="str">
        <x:v>S013-MED-01</x:v>
      </x:c>
      <x:c r="B23" s="7" t="str">
        <x:v>Q2-009</x:v>
      </x:c>
      <x:c r="C23" s="7" t="str">
        <x:v>S013</x:v>
      </x:c>
      <x:c r="D23" s="9" t="n">
        <x:v>2270.05913908</x:v>
      </x:c>
    </x:row>
    <x:row r="24" ht="23" customHeight="1">
      <x:c r="A24" s="2" t="str">
        <x:v>S013-WAT-01</x:v>
      </x:c>
      <x:c r="B24" s="2" t="str">
        <x:v>Q2-009</x:v>
      </x:c>
      <x:c r="C24" s="2" t="str">
        <x:v>S013</x:v>
      </x:c>
      <x:c r="D24" s="8" t="n">
        <x:v>2270.05913908</x:v>
      </x:c>
    </x:row>
    <x:row r="25" ht="23" customHeight="1">
      <x:c r="A25" s="7" t="str">
        <x:v>S012-FOD-01</x:v>
      </x:c>
      <x:c r="B25" s="7" t="str">
        <x:v>Q2-010</x:v>
      </x:c>
      <x:c r="C25" s="7" t="str">
        <x:v>S012</x:v>
      </x:c>
      <x:c r="D25" s="9" t="n">
        <x:v>2480.44958301</x:v>
      </x:c>
    </x:row>
    <x:row r="26" ht="23" customHeight="1">
      <x:c r="A26" s="2" t="str">
        <x:v>S012-MED-01</x:v>
      </x:c>
      <x:c r="B26" s="2" t="str">
        <x:v>Q2-010</x:v>
      </x:c>
      <x:c r="C26" s="2" t="str">
        <x:v>S012</x:v>
      </x:c>
      <x:c r="D26" s="8" t="n">
        <x:v>2480.44958301</x:v>
      </x:c>
    </x:row>
    <x:row r="27" ht="23" customHeight="1">
      <x:c r="A27" s="7" t="str">
        <x:v>S012-WAT-01</x:v>
      </x:c>
      <x:c r="B27" s="7" t="str">
        <x:v>Q2-010</x:v>
      </x:c>
      <x:c r="C27" s="7" t="str">
        <x:v>S012</x:v>
      </x:c>
      <x:c r="D27" s="9" t="n">
        <x:v>2480.44958301</x:v>
      </x:c>
    </x:row>
    <x:row r="28" ht="23" customHeight="1">
      <x:c r="A28" s="2" t="str">
        <x:v>S014-FOD-01</x:v>
      </x:c>
      <x:c r="B28" s="2" t="str">
        <x:v>Q2-011</x:v>
      </x:c>
      <x:c r="C28" s="2" t="str">
        <x:v>S014</x:v>
      </x:c>
      <x:c r="D28" s="8" t="n">
        <x:v>2807.64877922</x:v>
      </x:c>
    </x:row>
    <x:row r="29" ht="23" customHeight="1">
      <x:c r="A29" s="7" t="str">
        <x:v>S003-FOD-01</x:v>
      </x:c>
      <x:c r="B29" s="7" t="str">
        <x:v>Q2-012</x:v>
      </x:c>
      <x:c r="C29" s="7" t="str">
        <x:v>S003</x:v>
      </x:c>
      <x:c r="D29" s="9" t="n">
        <x:v>3248.2812205</x:v>
      </x:c>
    </x:row>
    <x:row r="30" ht="23" customHeight="1">
      <x:c r="A30" s="2" t="str">
        <x:v>S003-MED-01</x:v>
      </x:c>
      <x:c r="B30" s="2" t="str">
        <x:v>Q2-012</x:v>
      </x:c>
      <x:c r="C30" s="2" t="str">
        <x:v>S003</x:v>
      </x:c>
      <x:c r="D30" s="8" t="n">
        <x:v>3248.2812205</x:v>
      </x:c>
    </x:row>
    <x:row r="31" ht="23" customHeight="1">
      <x:c r="A31" s="7" t="str">
        <x:v>S003-WAT-01</x:v>
      </x:c>
      <x:c r="B31" s="7" t="str">
        <x:v>Q2-012</x:v>
      </x:c>
      <x:c r="C31" s="7" t="str">
        <x:v>S003</x:v>
      </x:c>
      <x:c r="D31" s="9" t="n">
        <x:v>3248.2812205</x:v>
      </x:c>
    </x:row>
    <x:row r="32" ht="23" customHeight="1">
      <x:c r="A32" s="2" t="str">
        <x:v>S003-WAT-02</x:v>
      </x:c>
      <x:c r="B32" s="2" t="str">
        <x:v>Q2-012</x:v>
      </x:c>
      <x:c r="C32" s="2" t="str">
        <x:v>S003</x:v>
      </x:c>
      <x:c r="D32" s="8" t="n">
        <x:v>3248.2812205</x:v>
      </x:c>
    </x:row>
    <x:row r="33" ht="23" customHeight="1">
      <x:c r="A33" s="7" t="str">
        <x:v>S003-WAT-03</x:v>
      </x:c>
      <x:c r="B33" s="7" t="str">
        <x:v>Q2-012</x:v>
      </x:c>
      <x:c r="C33" s="7" t="str">
        <x:v>S003</x:v>
      </x:c>
      <x:c r="D33" s="9" t="n">
        <x:v>3248.2812205</x:v>
      </x:c>
    </x:row>
    <x:row r="34" ht="23" customHeight="1">
      <x:c r="A34" s="2" t="str">
        <x:v>S003-WAT-04</x:v>
      </x:c>
      <x:c r="B34" s="2" t="str">
        <x:v>Q2-012</x:v>
      </x:c>
      <x:c r="C34" s="2" t="str">
        <x:v>S003</x:v>
      </x:c>
      <x:c r="D34" s="8" t="n">
        <x:v>3248.2812205</x:v>
      </x:c>
    </x:row>
    <x:row r="35" ht="23" customHeight="1">
      <x:c r="A35" s="7" t="str">
        <x:v>S004-FOD-01</x:v>
      </x:c>
      <x:c r="B35" s="7" t="str">
        <x:v>Q2-013</x:v>
      </x:c>
      <x:c r="C35" s="7" t="str">
        <x:v>S004</x:v>
      </x:c>
      <x:c r="D35" s="9" t="n">
        <x:v>3691.33952545</x:v>
      </x:c>
    </x:row>
    <x:row r="36" ht="23" customHeight="1">
      <x:c r="A36" s="2" t="str">
        <x:v>S004-HYG-01</x:v>
      </x:c>
      <x:c r="B36" s="2" t="str">
        <x:v>Q2-013</x:v>
      </x:c>
      <x:c r="C36" s="2" t="str">
        <x:v>S004</x:v>
      </x:c>
      <x:c r="D36" s="8" t="n">
        <x:v>3691.33952545</x:v>
      </x:c>
    </x:row>
    <x:row r="37" ht="23" customHeight="1">
      <x:c r="A37" s="7" t="str">
        <x:v>S004-MED-01</x:v>
      </x:c>
      <x:c r="B37" s="7" t="str">
        <x:v>Q2-013</x:v>
      </x:c>
      <x:c r="C37" s="7" t="str">
        <x:v>S004</x:v>
      </x:c>
      <x:c r="D37" s="9" t="n">
        <x:v>3691.33952545</x:v>
      </x:c>
    </x:row>
    <x:row r="38" ht="23" customHeight="1">
      <x:c r="A38" s="2" t="str">
        <x:v>S004-WAT-01</x:v>
      </x:c>
      <x:c r="B38" s="2" t="str">
        <x:v>Q2-013</x:v>
      </x:c>
      <x:c r="C38" s="2" t="str">
        <x:v>S004</x:v>
      </x:c>
      <x:c r="D38" s="8" t="n">
        <x:v>3691.33952545</x:v>
      </x:c>
    </x:row>
    <x:row r="39" ht="23" customHeight="1">
      <x:c r="A39" s="7" t="str">
        <x:v>S004-WAT-02</x:v>
      </x:c>
      <x:c r="B39" s="7" t="str">
        <x:v>Q2-013</x:v>
      </x:c>
      <x:c r="C39" s="7" t="str">
        <x:v>S004</x:v>
      </x:c>
      <x:c r="D39" s="9" t="n">
        <x:v>3691.33952545</x:v>
      </x:c>
    </x:row>
    <x:row r="40" ht="23" customHeight="1">
      <x:c r="A40" s="2" t="str">
        <x:v>S004-WAT-03</x:v>
      </x:c>
      <x:c r="B40" s="2" t="str">
        <x:v>Q2-013</x:v>
      </x:c>
      <x:c r="C40" s="2" t="str">
        <x:v>S004</x:v>
      </x:c>
      <x:c r="D40" s="8" t="n">
        <x:v>3691.33952545</x:v>
      </x:c>
    </x:row>
    <x:row r="41" ht="23" customHeight="1">
      <x:c r="A41" s="7" t="str">
        <x:v>S015-FOD-01</x:v>
      </x:c>
      <x:c r="B41" s="7" t="str">
        <x:v>Q2-014</x:v>
      </x:c>
      <x:c r="C41" s="7" t="str">
        <x:v>S015</x:v>
      </x:c>
      <x:c r="D41" s="9" t="n">
        <x:v>3935.38538022</x:v>
      </x:c>
    </x:row>
    <x:row r="42" ht="23" customHeight="1">
      <x:c r="A42" s="2" t="str">
        <x:v>S015-MED-01</x:v>
      </x:c>
      <x:c r="B42" s="2" t="str">
        <x:v>Q2-014</x:v>
      </x:c>
      <x:c r="C42" s="2" t="str">
        <x:v>S015</x:v>
      </x:c>
      <x:c r="D42" s="8" t="n">
        <x:v>3935.38538022</x:v>
      </x:c>
    </x:row>
    <x:row r="43" ht="23" customHeight="1">
      <x:c r="A43" s="7" t="str">
        <x:v>S015-WAT-01</x:v>
      </x:c>
      <x:c r="B43" s="7" t="str">
        <x:v>Q2-014</x:v>
      </x:c>
      <x:c r="C43" s="7" t="str">
        <x:v>S015</x:v>
      </x:c>
      <x:c r="D43" s="9" t="n">
        <x:v>3935.38538022</x:v>
      </x:c>
    </x:row>
    <x:row r="44" ht="23" customHeight="1">
      <x:c r="A44" s="2" t="str">
        <x:v>S009-FOD-01</x:v>
      </x:c>
      <x:c r="B44" s="2" t="str">
        <x:v>Q2-015</x:v>
      </x:c>
      <x:c r="C44" s="2" t="str">
        <x:v>S009</x:v>
      </x:c>
      <x:c r="D44" s="8" t="n">
        <x:v>4222.75442235</x:v>
      </x:c>
    </x:row>
    <x:row r="45" ht="23" customHeight="1">
      <x:c r="A45" s="7" t="str">
        <x:v>S009-MED-01</x:v>
      </x:c>
      <x:c r="B45" s="7" t="str">
        <x:v>Q2-015</x:v>
      </x:c>
      <x:c r="C45" s="7" t="str">
        <x:v>S009</x:v>
      </x:c>
      <x:c r="D45" s="9" t="n">
        <x:v>4222.75442235</x:v>
      </x:c>
    </x:row>
    <x:row r="46" ht="23" customHeight="1">
      <x:c r="A46" s="2" t="str">
        <x:v>S009-WAT-01</x:v>
      </x:c>
      <x:c r="B46" s="2" t="str">
        <x:v>Q2-015</x:v>
      </x:c>
      <x:c r="C46" s="2" t="str">
        <x:v>S009</x:v>
      </x:c>
      <x:c r="D46" s="8" t="n">
        <x:v>4222.75442235</x:v>
      </x:c>
    </x:row>
    <x:row r="47" ht="23" customHeight="1">
      <x:c r="A47" s="7" t="str">
        <x:v>S011-FOD-01</x:v>
      </x:c>
      <x:c r="B47" s="7" t="str">
        <x:v>Q2-017</x:v>
      </x:c>
      <x:c r="C47" s="7" t="str">
        <x:v>S011</x:v>
      </x:c>
      <x:c r="D47" s="9" t="n">
        <x:v>5452.50820839</x:v>
      </x:c>
    </x:row>
    <x:row r="48" ht="23" customHeight="1">
      <x:c r="A48" s="2" t="str">
        <x:v>S011-MED-01</x:v>
      </x:c>
      <x:c r="B48" s="2" t="str">
        <x:v>Q2-017</x:v>
      </x:c>
      <x:c r="C48" s="2" t="str">
        <x:v>S011</x:v>
      </x:c>
      <x:c r="D48" s="8" t="n">
        <x:v>5452.50820839</x:v>
      </x:c>
    </x:row>
    <x:row r="49" ht="23" customHeight="1">
      <x:c r="A49" s="7" t="str">
        <x:v>S011-WAT-01</x:v>
      </x:c>
      <x:c r="B49" s="7" t="str">
        <x:v>Q2-017</x:v>
      </x:c>
      <x:c r="C49" s="7" t="str">
        <x:v>S011</x:v>
      </x:c>
      <x:c r="D49" s="9" t="n">
        <x:v>5452.50820839</x:v>
      </x:c>
    </x:row>
    <x:row r="50" ht="23" customHeight="1">
      <x:c r="A50" s="2" t="str">
        <x:v>S008-FOD-01</x:v>
      </x:c>
      <x:c r="B50" s="2" t="str">
        <x:v>Q2-016</x:v>
      </x:c>
      <x:c r="C50" s="2" t="str">
        <x:v>S008</x:v>
      </x:c>
      <x:c r="D50" s="8" t="n">
        <x:v>5536.60583841</x:v>
      </x:c>
    </x:row>
    <x:row r="51" ht="23" customHeight="1">
      <x:c r="A51" s="7" t="str">
        <x:v>S008-HYG-01</x:v>
      </x:c>
      <x:c r="B51" s="7" t="str">
        <x:v>Q2-016</x:v>
      </x:c>
      <x:c r="C51" s="7" t="str">
        <x:v>S008</x:v>
      </x:c>
      <x:c r="D51" s="9" t="n">
        <x:v>5536.60583841</x:v>
      </x:c>
    </x:row>
    <x:row r="52" ht="23" customHeight="1">
      <x:c r="A52" s="2" t="str">
        <x:v>S008-MED-01</x:v>
      </x:c>
      <x:c r="B52" s="2" t="str">
        <x:v>Q2-016</x:v>
      </x:c>
      <x:c r="C52" s="2" t="str">
        <x:v>S008</x:v>
      </x:c>
      <x:c r="D52" s="8" t="n">
        <x:v>5536.60583841</x:v>
      </x:c>
    </x:row>
    <x:row r="53" ht="23" customHeight="1">
      <x:c r="A53" s="7" t="str">
        <x:v>S008-WAT-01</x:v>
      </x:c>
      <x:c r="B53" s="7" t="str">
        <x:v>Q2-016</x:v>
      </x:c>
      <x:c r="C53" s="7" t="str">
        <x:v>S008</x:v>
      </x:c>
      <x:c r="D53" s="9" t="n">
        <x:v>5536.60583841</x:v>
      </x:c>
    </x:row>
    <x:row r="54" ht="23" customHeight="1">
      <x:c r="A54" s="2" t="str">
        <x:v>S008-WAT-02</x:v>
      </x:c>
      <x:c r="B54" s="2" t="str">
        <x:v>Q2-016</x:v>
      </x:c>
      <x:c r="C54" s="2" t="str">
        <x:v>S008</x:v>
      </x:c>
      <x:c r="D54" s="8" t="n">
        <x:v>5536.60583841</x:v>
      </x:c>
    </x:row>
    <x:row r="55" ht="23" customHeight="1">
      <x:c r="A55" s="7" t="str">
        <x:v>S005-FOD-01</x:v>
      </x:c>
      <x:c r="B55" s="7" t="str">
        <x:v>Q2-018</x:v>
      </x:c>
      <x:c r="C55" s="7" t="str">
        <x:v>S005</x:v>
      </x:c>
      <x:c r="D55" s="9" t="n">
        <x:v>5968.05819852</x:v>
      </x:c>
    </x:row>
    <x:row r="56" ht="23" customHeight="1">
      <x:c r="A56" s="2" t="str">
        <x:v>S005-HYG-01</x:v>
      </x:c>
      <x:c r="B56" s="2" t="str">
        <x:v>Q2-018</x:v>
      </x:c>
      <x:c r="C56" s="2" t="str">
        <x:v>S005</x:v>
      </x:c>
      <x:c r="D56" s="8" t="n">
        <x:v>5968.05819852</x:v>
      </x:c>
    </x:row>
    <x:row r="57" ht="23" customHeight="1">
      <x:c r="A57" s="7" t="str">
        <x:v>S005-MED-01</x:v>
      </x:c>
      <x:c r="B57" s="7" t="str">
        <x:v>Q2-018</x:v>
      </x:c>
      <x:c r="C57" s="7" t="str">
        <x:v>S005</x:v>
      </x:c>
      <x:c r="D57" s="9" t="n">
        <x:v>5968.05819852</x:v>
      </x:c>
    </x:row>
    <x:row r="58" ht="23" customHeight="1">
      <x:c r="A58" s="2" t="str">
        <x:v>S005-WAT-01</x:v>
      </x:c>
      <x:c r="B58" s="2" t="str">
        <x:v>Q2-018</x:v>
      </x:c>
      <x:c r="C58" s="2" t="str">
        <x:v>S005</x:v>
      </x:c>
      <x:c r="D58" s="8" t="n">
        <x:v>5968.05819852</x:v>
      </x:c>
    </x:row>
    <x:row r="59" ht="23" customHeight="1">
      <x:c r="A59" s="7" t="str">
        <x:v>S005-WAT-02</x:v>
      </x:c>
      <x:c r="B59" s="7" t="str">
        <x:v>Q2-018</x:v>
      </x:c>
      <x:c r="C59" s="7" t="str">
        <x:v>S005</x:v>
      </x:c>
      <x:c r="D59" s="9" t="n">
        <x:v>5968.05819852</x:v>
      </x:c>
    </x:row>
    <x:row r="60" ht="23" customHeight="1">
      <x:c r="A60" s="2" t="str">
        <x:v>S005-WAT-03</x:v>
      </x:c>
      <x:c r="B60" s="2" t="str">
        <x:v>Q2-018</x:v>
      </x:c>
      <x:c r="C60" s="2" t="str">
        <x:v>S005</x:v>
      </x:c>
      <x:c r="D60" s="8" t="n">
        <x:v>5968.05819852</x:v>
      </x:c>
    </x:row>
    <x:row r="61" ht="23" customHeight="1">
      <x:c r="A61" s="7" t="str">
        <x:v>S003-FOD-02</x:v>
      </x:c>
      <x:c r="B61" s="7" t="str">
        <x:v>Q2-019</x:v>
      </x:c>
      <x:c r="C61" s="7" t="str">
        <x:v>S003</x:v>
      </x:c>
      <x:c r="D61" s="9" t="n">
        <x:v>6279.67113629</x:v>
      </x:c>
    </x:row>
    <x:row r="62" ht="23" customHeight="1">
      <x:c r="A62" s="2" t="str">
        <x:v>S003-HYG-01</x:v>
      </x:c>
      <x:c r="B62" s="2" t="str">
        <x:v>Q2-019</x:v>
      </x:c>
      <x:c r="C62" s="2" t="str">
        <x:v>S003</x:v>
      </x:c>
      <x:c r="D62" s="8" t="n">
        <x:v>6279.67113629</x:v>
      </x:c>
    </x:row>
    <x:row r="63" ht="23" customHeight="1">
      <x:c r="A63" s="7" t="str">
        <x:v>S001-FOD-01</x:v>
      </x:c>
      <x:c r="B63" s="7" t="str">
        <x:v>Q2-020</x:v>
      </x:c>
      <x:c r="C63" s="7" t="str">
        <x:v>S001</x:v>
      </x:c>
      <x:c r="D63" s="9" t="n">
        <x:v>7767.40118412</x:v>
      </x:c>
    </x:row>
    <x:row r="64" ht="23" customHeight="1">
      <x:c r="A64" s="2" t="str">
        <x:v>S001-WAT-02</x:v>
      </x:c>
      <x:c r="B64" s="2" t="str">
        <x:v>Q2-020</x:v>
      </x:c>
      <x:c r="C64" s="2" t="str">
        <x:v>S001</x:v>
      </x:c>
      <x:c r="D64" s="8" t="n">
        <x:v>7767.40118412</x:v>
      </x:c>
    </x:row>
    <x:row r="65" ht="23" customHeight="1">
      <x:c r="A65" s="7" t="str">
        <x:v>S001-WAT-03</x:v>
      </x:c>
      <x:c r="B65" s="7" t="str">
        <x:v>Q2-020</x:v>
      </x:c>
      <x:c r="C65" s="7" t="str">
        <x:v>S001</x:v>
      </x:c>
      <x:c r="D65" s="9" t="n">
        <x:v>7767.40118412</x:v>
      </x:c>
    </x:row>
    <x:row r="66" ht="23" customHeight="1">
      <x:c r="A66" s="2" t="str">
        <x:v>S001-WAT-04</x:v>
      </x:c>
      <x:c r="B66" s="2" t="str">
        <x:v>Q2-020</x:v>
      </x:c>
      <x:c r="C66" s="2" t="str">
        <x:v>S001</x:v>
      </x:c>
      <x:c r="D66" s="8" t="n">
        <x:v>7767.40118412</x:v>
      </x:c>
    </x:row>
    <x:row r="67" ht="23" customHeight="1">
      <x:c r="A67" s="7" t="str">
        <x:v>S001-WAT-05</x:v>
      </x:c>
      <x:c r="B67" s="7" t="str">
        <x:v>Q2-020</x:v>
      </x:c>
      <x:c r="C67" s="7" t="str">
        <x:v>S001</x:v>
      </x:c>
      <x:c r="D67" s="9" t="n">
        <x:v>7767.40118412</x:v>
      </x:c>
    </x:row>
    <x:row r="68" ht="23" customHeight="1">
      <x:c r="A68" s="2" t="str">
        <x:v>S001-WAT-06</x:v>
      </x:c>
      <x:c r="B68" s="2" t="str">
        <x:v>Q2-020</x:v>
      </x:c>
      <x:c r="C68" s="2" t="str">
        <x:v>S001</x:v>
      </x:c>
      <x:c r="D68" s="8" t="n">
        <x:v>7767.40118412</x:v>
      </x:c>
    </x:row>
    <x:row r="69" ht="23" customHeight="1">
      <x:c r="A69" s="7" t="str">
        <x:v>S006-FOD-01</x:v>
      </x:c>
      <x:c r="B69" s="7" t="str">
        <x:v>Q2-021</x:v>
      </x:c>
      <x:c r="C69" s="7" t="str">
        <x:v>S006</x:v>
      </x:c>
      <x:c r="D69" s="9" t="n">
        <x:v>8076.05114869</x:v>
      </x:c>
    </x:row>
    <x:row r="70" ht="23" customHeight="1">
      <x:c r="A70" s="2" t="str">
        <x:v>S006-HYG-01</x:v>
      </x:c>
      <x:c r="B70" s="2" t="str">
        <x:v>Q2-021</x:v>
      </x:c>
      <x:c r="C70" s="2" t="str">
        <x:v>S006</x:v>
      </x:c>
      <x:c r="D70" s="8" t="n">
        <x:v>8076.05114869</x:v>
      </x:c>
    </x:row>
    <x:row r="71" ht="23" customHeight="1">
      <x:c r="A71" s="7" t="str">
        <x:v>S006-WAT-02</x:v>
      </x:c>
      <x:c r="B71" s="7" t="str">
        <x:v>Q2-021</x:v>
      </x:c>
      <x:c r="C71" s="7" t="str">
        <x:v>S006</x:v>
      </x:c>
      <x:c r="D71" s="9" t="n">
        <x:v>8076.05114869</x:v>
      </x:c>
    </x:row>
    <x:row r="72" ht="23" customHeight="1">
      <x:c r="A72" s="2" t="str">
        <x:v>S006-WAT-03</x:v>
      </x:c>
      <x:c r="B72" s="2" t="str">
        <x:v>Q2-021</x:v>
      </x:c>
      <x:c r="C72" s="2" t="str">
        <x:v>S006</x:v>
      </x:c>
      <x:c r="D72" s="8" t="n">
        <x:v>8076.05114869</x:v>
      </x:c>
    </x:row>
    <x:row r="73" ht="23" customHeight="1">
      <x:c r="A73" s="7" t="str">
        <x:v>S007-FOD-01</x:v>
      </x:c>
      <x:c r="B73" s="7" t="str">
        <x:v>Q2-021</x:v>
      </x:c>
      <x:c r="C73" s="7" t="str">
        <x:v>S007</x:v>
      </x:c>
      <x:c r="D73" s="9" t="n">
        <x:v>8762.36993705</x:v>
      </x:c>
    </x:row>
    <x:row r="74" ht="23" customHeight="1">
      <x:c r="A74" s="2" t="str">
        <x:v>S007-HYG-01</x:v>
      </x:c>
      <x:c r="B74" s="2" t="str">
        <x:v>Q2-021</x:v>
      </x:c>
      <x:c r="C74" s="2" t="str">
        <x:v>S007</x:v>
      </x:c>
      <x:c r="D74" s="8" t="n">
        <x:v>8762.36993705</x:v>
      </x:c>
    </x:row>
    <x:row r="75" ht="23" customHeight="1">
      <x:c r="A75" s="7" t="str">
        <x:v>S007-WAT-02</x:v>
      </x:c>
      <x:c r="B75" s="7" t="str">
        <x:v>Q2-021</x:v>
      </x:c>
      <x:c r="C75" s="7" t="str">
        <x:v>S007</x:v>
      </x:c>
      <x:c r="D75" s="9" t="n">
        <x:v>8762.36993705</x:v>
      </x:c>
    </x:row>
    <x:row r="76" ht="23" customHeight="1">
      <x:c r="A76" s="2" t="str">
        <x:v>S001-FOD-02</x:v>
      </x:c>
      <x:c r="B76" s="2" t="str">
        <x:v>Q2-022</x:v>
      </x:c>
      <x:c r="C76" s="2" t="str">
        <x:v>S001</x:v>
      </x:c>
      <x:c r="D76" s="8" t="n">
        <x:v>9631.1189512</x:v>
      </x:c>
    </x:row>
    <x:row r="77" ht="23" customHeight="1">
      <x:c r="A77" s="7" t="str">
        <x:v>S001-FOD-03</x:v>
      </x:c>
      <x:c r="B77" s="7" t="str">
        <x:v>Q2-022</x:v>
      </x:c>
      <x:c r="C77" s="7" t="str">
        <x:v>S001</x:v>
      </x:c>
      <x:c r="D77" s="9" t="n">
        <x:v>9631.1189512</x:v>
      </x:c>
    </x:row>
    <x:row r="78" ht="23" customHeight="1">
      <x:c r="A78" s="2" t="str">
        <x:v>S001-HYG-01</x:v>
      </x:c>
      <x:c r="B78" s="2" t="str">
        <x:v>Q2-022</x:v>
      </x:c>
      <x:c r="C78" s="2" t="str">
        <x:v>S001</x:v>
      </x:c>
      <x:c r="D78" s="8" t="n">
        <x:v>9631.1189512</x:v>
      </x:c>
    </x:row>
    <x:row r="79" ht="23" customHeight="1">
      <x:c r="A79" s="7" t="str">
        <x:v>S001-HYG-02</x:v>
      </x:c>
      <x:c r="B79" s="7" t="str">
        <x:v>Q2-022</x:v>
      </x:c>
      <x:c r="C79" s="7" t="str">
        <x:v>S001</x:v>
      </x:c>
      <x:c r="D79" s="9" t="n">
        <x:v>9631.1189512</x:v>
      </x:c>
    </x:row>
    <x:row r="80" ht="23" customHeight="1">
      <x:c r="A80" s="2" t="str">
        <x:v>S001-WAT-07</x:v>
      </x:c>
      <x:c r="B80" s="2" t="str">
        <x:v>Q2-022</x:v>
      </x:c>
      <x:c r="C80" s="2" t="str">
        <x:v>S001</x:v>
      </x:c>
      <x:c r="D80" s="8" t="n">
        <x:v>9631.1189512</x:v>
      </x:c>
    </x:row>
    <x:row r="81" ht="23" customHeight="1">
      <x:c r="A81" s="7" t="str">
        <x:v>S001-WAT-08</x:v>
      </x:c>
      <x:c r="B81" s="7" t="str">
        <x:v>Q2-022</x:v>
      </x:c>
      <x:c r="C81" s="7" t="str">
        <x:v>S001</x:v>
      </x:c>
      <x:c r="D81" s="9" t="n">
        <x:v>9631.1189512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4" hidden="0" customWidth="1"/>
    <x:col min="5" max="5" width="15" hidden="0" customWidth="1"/>
    <x:col min="6" max="6" width="16" hidden="0" customWidth="1"/>
    <x:col min="7" max="7" width="18" hidden="0" customWidth="1"/>
    <x:col min="8" max="8" width="18" hidden="0" customWidth="1"/>
    <x:col min="9" max="9" width="17" hidden="0" customWidth="1"/>
    <x:col min="10" max="10" width="18" hidden="0" customWidth="1"/>
    <x:col min="11" max="11" width="42" hidden="0" customWidth="1"/>
  </x:cols>
  <x:sheetData>
    <x:row r="1" ht="38" customHeight="1">
      <x:c r="A1" s="6" t="str">
        <x:v>flight_id</x:v>
      </x:c>
      <x:c r="B1" s="6" t="str">
        <x:v>leg_sequence</x:v>
      </x:c>
      <x:c r="C1" s="6" t="str">
        <x:v>from_id</x:v>
      </x:c>
      <x:c r="D1" s="6" t="str">
        <x:v>to_id</x:v>
      </x:c>
      <x:c r="E1" s="6" t="str">
        <x:v>load_kg</x:v>
      </x:c>
      <x:c r="F1" s="6" t="str">
        <x:v>flight_s</x:v>
      </x:c>
      <x:c r="G1" s="6" t="str">
        <x:v>energy_kwh</x:v>
      </x:c>
      <x:c r="H1" s="6" t="str">
        <x:v>arrival_s</x:v>
      </x:c>
      <x:c r="I1" s="6" t="str">
        <x:v>handover_s</x:v>
      </x:c>
      <x:c r="J1" s="6" t="str">
        <x:v>departure_s</x:v>
      </x:c>
      <x:c r="K1" s="6" t="str">
        <x:v>delivered_boxes</x:v>
      </x:c>
    </x:row>
    <x:row r="2" ht="23" customHeight="1">
      <x:c r="A2" s="2" t="str">
        <x:v>Q2-001</x:v>
      </x:c>
      <x:c r="B2" s="2" t="n">
        <x:v>1</x:v>
      </x:c>
      <x:c r="C2" s="2" t="str">
        <x:v>O01</x:v>
      </x:c>
      <x:c r="D2" s="2" t="str">
        <x:v>S007</x:v>
      </x:c>
      <x:c r="E2" s="10" t="n">
        <x:v>17</x:v>
      </x:c>
      <x:c r="F2" s="10" t="n">
        <x:v>571.3734429167</x:v>
      </x:c>
      <x:c r="G2" s="10" t="n">
        <x:v>1.0458399232</x:v>
      </x:c>
      <x:c r="H2" s="10" t="n">
        <x:v>931.3734429167</x:v>
      </x:c>
      <x:c r="I2" s="10" t="n">
        <x:v>210</x:v>
      </x:c>
      <x:c r="J2" s="10" t="n">
        <x:v>1141.3734429167</x:v>
      </x:c>
      <x:c r="K2" s="14" t="str">
        <x:v>S007-MED-01;S007-WAT-01</x:v>
      </x:c>
    </x:row>
    <x:row r="3" ht="23" customHeight="1">
      <x:c r="A3" s="7" t="str">
        <x:v>Q2-001</x:v>
      </x:c>
      <x:c r="B3" s="7" t="n">
        <x:v>2</x:v>
      </x:c>
      <x:c r="C3" s="7" t="str">
        <x:v>S007</x:v>
      </x:c>
      <x:c r="D3" s="7" t="str">
        <x:v>O01</x:v>
      </x:c>
      <x:c r="E3" s="11" t="n">
        <x:v>0</x:v>
      </x:c>
      <x:c r="F3" s="11" t="n">
        <x:v>586.0934429167</x:v>
      </x:c>
      <x:c r="G3" s="11" t="n">
        <x:v>0.859543377</x:v>
      </x:c>
      <x:c r="H3" s="11" t="n">
        <x:v>1727.4668858333</x:v>
      </x:c>
      <x:c r="I3" s="11" t="n">
        <x:v>0</x:v>
      </x:c>
      <x:c r="J3" s="11" t="n">
        <x:v>1727.4668858333</x:v>
      </x:c>
      <x:c r="K3" s="15" t="str"/>
    </x:row>
    <x:row r="4" ht="23" customHeight="1">
      <x:c r="A4" s="2" t="str">
        <x:v>Q2-002</x:v>
      </x:c>
      <x:c r="B4" s="2" t="n">
        <x:v>1</x:v>
      </x:c>
      <x:c r="C4" s="2" t="str">
        <x:v>O01</x:v>
      </x:c>
      <x:c r="D4" s="2" t="str">
        <x:v>S014</x:v>
      </x:c>
      <x:c r="E4" s="10" t="n">
        <x:v>17</x:v>
      </x:c>
      <x:c r="F4" s="10" t="n">
        <x:v>702.7561093133</x:v>
      </x:c>
      <x:c r="G4" s="10" t="n">
        <x:v>1.251549287</x:v>
      </x:c>
      <x:c r="H4" s="10" t="n">
        <x:v>1062.7561093133</x:v>
      </x:c>
      <x:c r="I4" s="10" t="n">
        <x:v>210</x:v>
      </x:c>
      <x:c r="J4" s="10" t="n">
        <x:v>1272.7561093133</x:v>
      </x:c>
      <x:c r="K4" s="14" t="str">
        <x:v>S014-MED-01;S014-WAT-01</x:v>
      </x:c>
    </x:row>
    <x:row r="5" ht="23" customHeight="1">
      <x:c r="A5" s="7" t="str">
        <x:v>Q2-002</x:v>
      </x:c>
      <x:c r="B5" s="7" t="n">
        <x:v>2</x:v>
      </x:c>
      <x:c r="C5" s="7" t="str">
        <x:v>S014</x:v>
      </x:c>
      <x:c r="D5" s="7" t="str">
        <x:v>O01</x:v>
      </x:c>
      <x:c r="E5" s="11" t="n">
        <x:v>0</x:v>
      </x:c>
      <x:c r="F5" s="11" t="n">
        <x:v>717.64277598</x:v>
      </x:c>
      <x:c r="G5" s="11" t="n">
        <x:v>1.0393290606</x:v>
      </x:c>
      <x:c r="H5" s="11" t="n">
        <x:v>1990.3988852933</x:v>
      </x:c>
      <x:c r="I5" s="11" t="n">
        <x:v>0</x:v>
      </x:c>
      <x:c r="J5" s="11" t="n">
        <x:v>1990.3988852933</x:v>
      </x:c>
      <x:c r="K5" s="15" t="str"/>
    </x:row>
    <x:row r="6" ht="23" customHeight="1">
      <x:c r="A6" s="2" t="str">
        <x:v>Q2-003</x:v>
      </x:c>
      <x:c r="B6" s="2" t="n">
        <x:v>1</x:v>
      </x:c>
      <x:c r="C6" s="2" t="str">
        <x:v>O01</x:v>
      </x:c>
      <x:c r="D6" s="2" t="str">
        <x:v>S002</x:v>
      </x:c>
      <x:c r="E6" s="10" t="n">
        <x:v>17</x:v>
      </x:c>
      <x:c r="F6" s="10" t="n">
        <x:v>713.8276042267</x:v>
      </x:c>
      <x:c r="G6" s="10" t="n">
        <x:v>1.5622505259</x:v>
      </x:c>
      <x:c r="H6" s="10" t="n">
        <x:v>1073.8276042267</x:v>
      </x:c>
      <x:c r="I6" s="10" t="n">
        <x:v>210</x:v>
      </x:c>
      <x:c r="J6" s="10" t="n">
        <x:v>1283.8276042267</x:v>
      </x:c>
      <x:c r="K6" s="14" t="str">
        <x:v>S002-MED-01;S002-WAT-01</x:v>
      </x:c>
    </x:row>
    <x:row r="7" ht="23" customHeight="1">
      <x:c r="A7" s="7" t="str">
        <x:v>Q2-003</x:v>
      </x:c>
      <x:c r="B7" s="7" t="n">
        <x:v>2</x:v>
      </x:c>
      <x:c r="C7" s="7" t="str">
        <x:v>S002</x:v>
      </x:c>
      <x:c r="D7" s="7" t="str">
        <x:v>O01</x:v>
      </x:c>
      <x:c r="E7" s="11" t="n">
        <x:v>0</x:v>
      </x:c>
      <x:c r="F7" s="11" t="n">
        <x:v>719.94760423</x:v>
      </x:c>
      <x:c r="G7" s="11" t="n">
        <x:v>1.3577671588</x:v>
      </x:c>
      <x:c r="H7" s="11" t="n">
        <x:v>2003.7752084567</x:v>
      </x:c>
      <x:c r="I7" s="11" t="n">
        <x:v>0</x:v>
      </x:c>
      <x:c r="J7" s="11" t="n">
        <x:v>2003.7752084567</x:v>
      </x:c>
      <x:c r="K7" s="15" t="str"/>
    </x:row>
    <x:row r="8" ht="23" customHeight="1">
      <x:c r="A8" s="2" t="str">
        <x:v>Q2-004</x:v>
      </x:c>
      <x:c r="B8" s="2" t="n">
        <x:v>1</x:v>
      </x:c>
      <x:c r="C8" s="2" t="str">
        <x:v>O01</x:v>
      </x:c>
      <x:c r="D8" s="2" t="str">
        <x:v>S010</x:v>
      </x:c>
      <x:c r="E8" s="10" t="n">
        <x:v>8</x:v>
      </x:c>
      <x:c r="F8" s="10" t="n">
        <x:v>534.9830016227</x:v>
      </x:c>
      <x:c r="G8" s="10" t="n">
        <x:v>0.9844673192</x:v>
      </x:c>
      <x:c r="H8" s="10" t="n">
        <x:v>864.9830016227</x:v>
      </x:c>
      <x:c r="I8" s="10" t="n">
        <x:v>180</x:v>
      </x:c>
      <x:c r="J8" s="10" t="n">
        <x:v>1044.9830016227</x:v>
      </x:c>
      <x:c r="K8" s="14" t="str">
        <x:v>S010-FOD-01</x:v>
      </x:c>
    </x:row>
    <x:row r="9" ht="23" customHeight="1">
      <x:c r="A9" s="7" t="str">
        <x:v>Q2-004</x:v>
      </x:c>
      <x:c r="B9" s="7" t="n">
        <x:v>2</x:v>
      </x:c>
      <x:c r="C9" s="7" t="str">
        <x:v>S010</x:v>
      </x:c>
      <x:c r="D9" s="7" t="str">
        <x:v>O01</x:v>
      </x:c>
      <x:c r="E9" s="11" t="n">
        <x:v>0</x:v>
      </x:c>
      <x:c r="F9" s="11" t="n">
        <x:v>549.9096682867</x:v>
      </x:c>
      <x:c r="G9" s="11" t="n">
        <x:v>0.8834976543</x:v>
      </x:c>
      <x:c r="H9" s="11" t="n">
        <x:v>1594.8926699093</x:v>
      </x:c>
      <x:c r="I9" s="11" t="n">
        <x:v>0</x:v>
      </x:c>
      <x:c r="J9" s="11" t="n">
        <x:v>1594.8926699093</x:v>
      </x:c>
      <x:c r="K9" s="15" t="str"/>
    </x:row>
    <x:row r="10" ht="23" customHeight="1">
      <x:c r="A10" s="2" t="str">
        <x:v>Q2-005</x:v>
      </x:c>
      <x:c r="B10" s="2" t="n">
        <x:v>1</x:v>
      </x:c>
      <x:c r="C10" s="2" t="str">
        <x:v>O01</x:v>
      </x:c>
      <x:c r="D10" s="2" t="str">
        <x:v>S001</x:v>
      </x:c>
      <x:c r="E10" s="10" t="n">
        <x:v>20</x:v>
      </x:c>
      <x:c r="F10" s="10" t="n">
        <x:v>287.6764212773</x:v>
      </x:c>
      <x:c r="G10" s="10" t="n">
        <x:v>0.6157821079</x:v>
      </x:c>
      <x:c r="H10" s="10" t="n">
        <x:v>677.6764212773</x:v>
      </x:c>
      <x:c r="I10" s="10" t="n">
        <x:v>240</x:v>
      </x:c>
      <x:c r="J10" s="10" t="n">
        <x:v>917.6764212773</x:v>
      </x:c>
      <x:c r="K10" s="14" t="str">
        <x:v>S001-MED-01;S001-MED-02;S001-WAT-01</x:v>
      </x:c>
    </x:row>
    <x:row r="11" ht="23" customHeight="1">
      <x:c r="A11" s="7" t="str">
        <x:v>Q2-005</x:v>
      </x:c>
      <x:c r="B11" s="7" t="n">
        <x:v>2</x:v>
      </x:c>
      <x:c r="C11" s="7" t="str">
        <x:v>S001</x:v>
      </x:c>
      <x:c r="D11" s="7" t="str">
        <x:v>O01</x:v>
      </x:c>
      <x:c r="E11" s="11" t="n">
        <x:v>0</x:v>
      </x:c>
      <x:c r="F11" s="11" t="n">
        <x:v>291.42975461</x:v>
      </x:c>
      <x:c r="G11" s="11" t="n">
        <x:v>0.4581901499</x:v>
      </x:c>
      <x:c r="H11" s="11" t="n">
        <x:v>1209.1061758873</x:v>
      </x:c>
      <x:c r="I11" s="11" t="n">
        <x:v>0</x:v>
      </x:c>
      <x:c r="J11" s="11" t="n">
        <x:v>1209.1061758873</x:v>
      </x:c>
      <x:c r="K11" s="15" t="str"/>
    </x:row>
    <x:row r="12" ht="23" customHeight="1">
      <x:c r="A12" s="2" t="str">
        <x:v>Q2-006</x:v>
      </x:c>
      <x:c r="B12" s="2" t="n">
        <x:v>1</x:v>
      </x:c>
      <x:c r="C12" s="2" t="str">
        <x:v>O01</x:v>
      </x:c>
      <x:c r="D12" s="2" t="str">
        <x:v>S006</x:v>
      </x:c>
      <x:c r="E12" s="10" t="n">
        <x:v>17</x:v>
      </x:c>
      <x:c r="F12" s="10" t="n">
        <x:v>312.3983390107</x:v>
      </x:c>
      <x:c r="G12" s="10" t="n">
        <x:v>0.6309607154</x:v>
      </x:c>
      <x:c r="H12" s="10" t="n">
        <x:v>672.3983390107</x:v>
      </x:c>
      <x:c r="I12" s="10" t="n">
        <x:v>210</x:v>
      </x:c>
      <x:c r="J12" s="10" t="n">
        <x:v>882.3983390107</x:v>
      </x:c>
      <x:c r="K12" s="14" t="str">
        <x:v>S006-MED-01;S006-WAT-01</x:v>
      </x:c>
    </x:row>
    <x:row r="13" ht="23" customHeight="1">
      <x:c r="A13" s="7" t="str">
        <x:v>Q2-006</x:v>
      </x:c>
      <x:c r="B13" s="7" t="n">
        <x:v>2</x:v>
      </x:c>
      <x:c r="C13" s="7" t="str">
        <x:v>S006</x:v>
      </x:c>
      <x:c r="D13" s="7" t="str">
        <x:v>O01</x:v>
      </x:c>
      <x:c r="E13" s="11" t="n">
        <x:v>0</x:v>
      </x:c>
      <x:c r="F13" s="11" t="n">
        <x:v>324.8716723467</x:v>
      </x:c>
      <x:c r="G13" s="11" t="n">
        <x:v>0.4677865798</x:v>
      </x:c>
      <x:c r="H13" s="11" t="n">
        <x:v>1207.2700113573</x:v>
      </x:c>
      <x:c r="I13" s="11" t="n">
        <x:v>0</x:v>
      </x:c>
      <x:c r="J13" s="11" t="n">
        <x:v>1207.2700113573</x:v>
      </x:c>
      <x:c r="K13" s="15" t="str"/>
    </x:row>
    <x:row r="14" ht="23" customHeight="1">
      <x:c r="A14" s="2" t="str">
        <x:v>Q2-007</x:v>
      </x:c>
      <x:c r="B14" s="2" t="n">
        <x:v>1</x:v>
      </x:c>
      <x:c r="C14" s="2" t="str">
        <x:v>O01</x:v>
      </x:c>
      <x:c r="D14" s="2" t="str">
        <x:v>S002</x:v>
      </x:c>
      <x:c r="E14" s="10" t="n">
        <x:v>64</x:v>
      </x:c>
      <x:c r="F14" s="10" t="n">
        <x:v>611.3310830217</x:v>
      </x:c>
      <x:c r="G14" s="10" t="n">
        <x:v>3.8016677821</x:v>
      </x:c>
      <x:c r="H14" s="10" t="n">
        <x:v>1091.3310830217</x:v>
      </x:c>
      <x:c r="I14" s="10" t="n">
        <x:v>396</x:v>
      </x:c>
      <x:c r="J14" s="10" t="n">
        <x:v>1487.3310830217</x:v>
      </x:c>
      <x:c r="K14" s="14" t="str">
        <x:v>S002-FOD-01;S002-FOD-02;S002-HYG-01;S002-WAT-02;S002-WAT-03;S002-WAT-04</x:v>
      </x:c>
    </x:row>
    <x:row r="15" ht="23" customHeight="1">
      <x:c r="A15" s="7" t="str">
        <x:v>Q2-007</x:v>
      </x:c>
      <x:c r="B15" s="7" t="n">
        <x:v>2</x:v>
      </x:c>
      <x:c r="C15" s="7" t="str">
        <x:v>S002</x:v>
      </x:c>
      <x:c r="D15" s="7" t="str">
        <x:v>O01</x:v>
      </x:c>
      <x:c r="E15" s="11" t="n">
        <x:v>0</x:v>
      </x:c>
      <x:c r="F15" s="11" t="n">
        <x:v>620.5110830267</x:v>
      </x:c>
      <x:c r="G15" s="11" t="n">
        <x:v>2.3041291706</x:v>
      </x:c>
      <x:c r="H15" s="11" t="n">
        <x:v>2107.8421660483</x:v>
      </x:c>
      <x:c r="I15" s="11" t="n">
        <x:v>0</x:v>
      </x:c>
      <x:c r="J15" s="11" t="n">
        <x:v>2107.8421660483</x:v>
      </x:c>
      <x:c r="K15" s="15" t="str"/>
    </x:row>
    <x:row r="16" ht="23" customHeight="1">
      <x:c r="A16" s="2" t="str">
        <x:v>Q2-008</x:v>
      </x:c>
      <x:c r="B16" s="2" t="n">
        <x:v>1</x:v>
      </x:c>
      <x:c r="C16" s="2" t="str">
        <x:v>O01</x:v>
      </x:c>
      <x:c r="D16" s="2" t="str">
        <x:v>S010</x:v>
      </x:c>
      <x:c r="E16" s="10" t="n">
        <x:v>17</x:v>
      </x:c>
      <x:c r="F16" s="10" t="n">
        <x:v>484.17118246</x:v>
      </x:c>
      <x:c r="G16" s="10" t="n">
        <x:v>1.6554286573</x:v>
      </x:c>
      <x:c r="H16" s="10" t="n">
        <x:v>844.17118246</x:v>
      </x:c>
      <x:c r="I16" s="10" t="n">
        <x:v>252</x:v>
      </x:c>
      <x:c r="J16" s="10" t="n">
        <x:v>1096.17118246</x:v>
      </x:c>
      <x:c r="K16" s="14" t="str">
        <x:v>S010-MED-01;S010-WAT-01</x:v>
      </x:c>
    </x:row>
    <x:row r="17" ht="23" customHeight="1">
      <x:c r="A17" s="7" t="str">
        <x:v>Q2-008</x:v>
      </x:c>
      <x:c r="B17" s="7" t="n">
        <x:v>2</x:v>
      </x:c>
      <x:c r="C17" s="7" t="str">
        <x:v>S010</x:v>
      </x:c>
      <x:c r="D17" s="7" t="str">
        <x:v>O01</x:v>
      </x:c>
      <x:c r="E17" s="11" t="n">
        <x:v>0</x:v>
      </x:c>
      <x:c r="F17" s="11" t="n">
        <x:v>506.561182456</x:v>
      </x:c>
      <x:c r="G17" s="11" t="n">
        <x:v>1.4944319889</x:v>
      </x:c>
      <x:c r="H17" s="11" t="n">
        <x:v>1602.732364916</x:v>
      </x:c>
      <x:c r="I17" s="11" t="n">
        <x:v>0</x:v>
      </x:c>
      <x:c r="J17" s="11" t="n">
        <x:v>1602.732364916</x:v>
      </x:c>
      <x:c r="K17" s="15" t="str"/>
    </x:row>
    <x:row r="18" ht="23" customHeight="1">
      <x:c r="A18" s="2" t="str">
        <x:v>Q2-009</x:v>
      </x:c>
      <x:c r="B18" s="2" t="n">
        <x:v>1</x:v>
      </x:c>
      <x:c r="C18" s="2" t="str">
        <x:v>O01</x:v>
      </x:c>
      <x:c r="D18" s="2" t="str">
        <x:v>S013</x:v>
      </x:c>
      <x:c r="E18" s="10" t="n">
        <x:v>25</x:v>
      </x:c>
      <x:c r="F18" s="10" t="n">
        <x:v>432.7891277253</x:v>
      </x:c>
      <x:c r="G18" s="10" t="n">
        <x:v>1.1203603424</x:v>
      </x:c>
      <x:c r="H18" s="10" t="n">
        <x:v>2030.0591390853</x:v>
      </x:c>
      <x:c r="I18" s="10" t="n">
        <x:v>240</x:v>
      </x:c>
      <x:c r="J18" s="10" t="n">
        <x:v>2270.0591390853</x:v>
      </x:c>
      <x:c r="K18" s="14" t="str">
        <x:v>S013-FOD-01;S013-MED-01;S013-WAT-01</x:v>
      </x:c>
    </x:row>
    <x:row r="19" ht="23" customHeight="1">
      <x:c r="A19" s="7" t="str">
        <x:v>Q2-009</x:v>
      </x:c>
      <x:c r="B19" s="7" t="n">
        <x:v>2</x:v>
      </x:c>
      <x:c r="C19" s="7" t="str">
        <x:v>S013</x:v>
      </x:c>
      <x:c r="D19" s="7" t="str">
        <x:v>O01</x:v>
      </x:c>
      <x:c r="E19" s="11" t="n">
        <x:v>0</x:v>
      </x:c>
      <x:c r="F19" s="11" t="n">
        <x:v>447.7224610567</x:v>
      </x:c>
      <x:c r="G19" s="11" t="n">
        <x:v>0.7044678488</x:v>
      </x:c>
      <x:c r="H19" s="11" t="n">
        <x:v>2717.781600142</x:v>
      </x:c>
      <x:c r="I19" s="11" t="n">
        <x:v>0</x:v>
      </x:c>
      <x:c r="J19" s="11" t="n">
        <x:v>2717.781600142</x:v>
      </x:c>
      <x:c r="K19" s="15" t="str"/>
    </x:row>
    <x:row r="20" ht="23" customHeight="1">
      <x:c r="A20" s="2" t="str">
        <x:v>Q2-010</x:v>
      </x:c>
      <x:c r="B20" s="2" t="n">
        <x:v>1</x:v>
      </x:c>
      <x:c r="C20" s="2" t="str">
        <x:v>O01</x:v>
      </x:c>
      <x:c r="D20" s="2" t="str">
        <x:v>S012</x:v>
      </x:c>
      <x:c r="E20" s="10" t="n">
        <x:v>25</x:v>
      </x:c>
      <x:c r="F20" s="10" t="n">
        <x:v>641.3434071267</x:v>
      </x:c>
      <x:c r="G20" s="10" t="n">
        <x:v>1.6638918317</x:v>
      </x:c>
      <x:c r="H20" s="10" t="n">
        <x:v>2240.4495830167</x:v>
      </x:c>
      <x:c r="I20" s="10" t="n">
        <x:v>240</x:v>
      </x:c>
      <x:c r="J20" s="10" t="n">
        <x:v>2480.4495830167</x:v>
      </x:c>
      <x:c r="K20" s="14" t="str">
        <x:v>S012-FOD-01;S012-MED-01;S012-WAT-01</x:v>
      </x:c>
    </x:row>
    <x:row r="21" ht="23" customHeight="1">
      <x:c r="A21" s="7" t="str">
        <x:v>Q2-010</x:v>
      </x:c>
      <x:c r="B21" s="7" t="n">
        <x:v>2</x:v>
      </x:c>
      <x:c r="C21" s="7" t="str">
        <x:v>S012</x:v>
      </x:c>
      <x:c r="D21" s="7" t="str">
        <x:v>O01</x:v>
      </x:c>
      <x:c r="E21" s="11" t="n">
        <x:v>0</x:v>
      </x:c>
      <x:c r="F21" s="11" t="n">
        <x:v>651.4834071267</x:v>
      </x:c>
      <x:c r="G21" s="11" t="n">
        <x:v>1.0887081228</x:v>
      </x:c>
      <x:c r="H21" s="11" t="n">
        <x:v>3131.9329901433</x:v>
      </x:c>
      <x:c r="I21" s="11" t="n">
        <x:v>0</x:v>
      </x:c>
      <x:c r="J21" s="11" t="n">
        <x:v>3131.9329901433</x:v>
      </x:c>
      <x:c r="K21" s="15" t="str"/>
    </x:row>
    <x:row r="22" ht="23" customHeight="1">
      <x:c r="A22" s="2" t="str">
        <x:v>Q2-011</x:v>
      </x:c>
      <x:c r="B22" s="2" t="n">
        <x:v>1</x:v>
      </x:c>
      <x:c r="C22" s="2" t="str">
        <x:v>O01</x:v>
      </x:c>
      <x:c r="D22" s="2" t="str">
        <x:v>S014</x:v>
      </x:c>
      <x:c r="E22" s="10" t="n">
        <x:v>8</x:v>
      </x:c>
      <x:c r="F22" s="10" t="n">
        <x:v>702.7561093133</x:v>
      </x:c>
      <x:c r="G22" s="10" t="n">
        <x:v>1.149163561</x:v>
      </x:c>
      <x:c r="H22" s="10" t="n">
        <x:v>2627.6487792233</x:v>
      </x:c>
      <x:c r="I22" s="10" t="n">
        <x:v>180</x:v>
      </x:c>
      <x:c r="J22" s="10" t="n">
        <x:v>2807.6487792233</x:v>
      </x:c>
      <x:c r="K22" s="14" t="str">
        <x:v>S014-FOD-01</x:v>
      </x:c>
    </x:row>
    <x:row r="23" ht="23" customHeight="1">
      <x:c r="A23" s="7" t="str">
        <x:v>Q2-011</x:v>
      </x:c>
      <x:c r="B23" s="7" t="n">
        <x:v>2</x:v>
      </x:c>
      <x:c r="C23" s="7" t="str">
        <x:v>S014</x:v>
      </x:c>
      <x:c r="D23" s="7" t="str">
        <x:v>O01</x:v>
      </x:c>
      <x:c r="E23" s="11" t="n">
        <x:v>0</x:v>
      </x:c>
      <x:c r="F23" s="11" t="n">
        <x:v>717.64277598</x:v>
      </x:c>
      <x:c r="G23" s="11" t="n">
        <x:v>1.0393290606</x:v>
      </x:c>
      <x:c r="H23" s="11" t="n">
        <x:v>3525.2915552033</x:v>
      </x:c>
      <x:c r="I23" s="11" t="n">
        <x:v>0</x:v>
      </x:c>
      <x:c r="J23" s="11" t="n">
        <x:v>3525.2915552033</x:v>
      </x:c>
      <x:c r="K23" s="15" t="str"/>
    </x:row>
    <x:row r="24" ht="23" customHeight="1">
      <x:c r="A24" s="2" t="str">
        <x:v>Q2-012</x:v>
      </x:c>
      <x:c r="B24" s="2" t="n">
        <x:v>1</x:v>
      </x:c>
      <x:c r="C24" s="2" t="str">
        <x:v>O01</x:v>
      </x:c>
      <x:c r="D24" s="2" t="str">
        <x:v>S003</x:v>
      </x:c>
      <x:c r="E24" s="10" t="n">
        <x:v>67</x:v>
      </x:c>
      <x:c r="F24" s="10" t="n">
        <x:v>769.54885558</x:v>
      </x:c>
      <x:c r="G24" s="10" t="n">
        <x:v>4.0304203073</x:v>
      </x:c>
      <x:c r="H24" s="10" t="n">
        <x:v>2852.2812205</x:v>
      </x:c>
      <x:c r="I24" s="10" t="n">
        <x:v>396</x:v>
      </x:c>
      <x:c r="J24" s="10" t="n">
        <x:v>3248.2812205</x:v>
      </x:c>
      <x:c r="K24" s="14" t="str">
        <x:v>S003-FOD-01;S003-MED-01;S003-WAT-01;S003-WAT-02;S003-WAT-03;S003-WAT-04</x:v>
      </x:c>
    </x:row>
    <x:row r="25" ht="23" customHeight="1">
      <x:c r="A25" s="7" t="str">
        <x:v>Q2-012</x:v>
      </x:c>
      <x:c r="B25" s="7" t="n">
        <x:v>2</x:v>
      </x:c>
      <x:c r="C25" s="7" t="str">
        <x:v>S003</x:v>
      </x:c>
      <x:c r="D25" s="7" t="str">
        <x:v>O01</x:v>
      </x:c>
      <x:c r="E25" s="11" t="n">
        <x:v>0</x:v>
      </x:c>
      <x:c r="F25" s="11" t="n">
        <x:v>790.62885558</x:v>
      </x:c>
      <x:c r="G25" s="11" t="n">
        <x:v>2.2940790838</x:v>
      </x:c>
      <x:c r="H25" s="11" t="n">
        <x:v>4038.91007608</x:v>
      </x:c>
      <x:c r="I25" s="11" t="n">
        <x:v>0</x:v>
      </x:c>
      <x:c r="J25" s="11" t="n">
        <x:v>4038.91007608</x:v>
      </x:c>
      <x:c r="K25" s="15" t="str"/>
    </x:row>
    <x:row r="26" ht="23" customHeight="1">
      <x:c r="A26" s="2" t="str">
        <x:v>Q2-013</x:v>
      </x:c>
      <x:c r="B26" s="2" t="n">
        <x:v>1</x:v>
      </x:c>
      <x:c r="C26" s="2" t="str">
        <x:v>O01</x:v>
      </x:c>
      <x:c r="D26" s="2" t="str">
        <x:v>S004</x:v>
      </x:c>
      <x:c r="E26" s="10" t="n">
        <x:v>59</x:v>
      </x:c>
      <x:c r="F26" s="10" t="n">
        <x:v>707.4973594033</x:v>
      </x:c>
      <x:c r="G26" s="10" t="n">
        <x:v>3.7341695223</x:v>
      </x:c>
      <x:c r="H26" s="10" t="n">
        <x:v>3295.3395254533</x:v>
      </x:c>
      <x:c r="I26" s="10" t="n">
        <x:v>396</x:v>
      </x:c>
      <x:c r="J26" s="10" t="n">
        <x:v>3691.3395254533</x:v>
      </x:c>
      <x:c r="K26" s="14" t="str">
        <x:v>S004-FOD-01;S004-HYG-01;S004-MED-01;S004-WAT-01;S004-WAT-02;S004-WAT-03</x:v>
      </x:c>
    </x:row>
    <x:row r="27" ht="23" customHeight="1">
      <x:c r="A27" s="7" t="str">
        <x:v>Q2-013</x:v>
      </x:c>
      <x:c r="B27" s="7" t="n">
        <x:v>2</x:v>
      </x:c>
      <x:c r="C27" s="7" t="str">
        <x:v>S004</x:v>
      </x:c>
      <x:c r="D27" s="7" t="str">
        <x:v>O01</x:v>
      </x:c>
      <x:c r="E27" s="11" t="n">
        <x:v>0</x:v>
      </x:c>
      <x:c r="F27" s="11" t="n">
        <x:v>717.5573594033</x:v>
      </x:c>
      <x:c r="G27" s="11" t="n">
        <x:v>2.4186906067</x:v>
      </x:c>
      <x:c r="H27" s="11" t="n">
        <x:v>4408.8968848567</x:v>
      </x:c>
      <x:c r="I27" s="11" t="n">
        <x:v>0</x:v>
      </x:c>
      <x:c r="J27" s="11" t="n">
        <x:v>4408.8968848567</x:v>
      </x:c>
      <x:c r="K27" s="15" t="str"/>
    </x:row>
    <x:row r="28" ht="23" customHeight="1">
      <x:c r="A28" s="2" t="str">
        <x:v>Q2-014</x:v>
      </x:c>
      <x:c r="B28" s="2" t="n">
        <x:v>1</x:v>
      </x:c>
      <x:c r="C28" s="2" t="str">
        <x:v>O01</x:v>
      </x:c>
      <x:c r="D28" s="2" t="str">
        <x:v>S015</x:v>
      </x:c>
      <x:c r="E28" s="10" t="n">
        <x:v>25</x:v>
      </x:c>
      <x:c r="F28" s="10" t="n">
        <x:v>587.6037800813</x:v>
      </x:c>
      <x:c r="G28" s="10" t="n">
        <x:v>1.4250625454</x:v>
      </x:c>
      <x:c r="H28" s="10" t="n">
        <x:v>3695.3853802213</x:v>
      </x:c>
      <x:c r="I28" s="10" t="n">
        <x:v>240</x:v>
      </x:c>
      <x:c r="J28" s="10" t="n">
        <x:v>3935.3853802213</x:v>
      </x:c>
      <x:c r="K28" s="14" t="str">
        <x:v>S015-FOD-01;S015-MED-01;S015-WAT-01</x:v>
      </x:c>
    </x:row>
    <x:row r="29" ht="23" customHeight="1">
      <x:c r="A29" s="7" t="str">
        <x:v>Q2-014</x:v>
      </x:c>
      <x:c r="B29" s="7" t="n">
        <x:v>2</x:v>
      </x:c>
      <x:c r="C29" s="7" t="str">
        <x:v>S015</x:v>
      </x:c>
      <x:c r="D29" s="7" t="str">
        <x:v>O01</x:v>
      </x:c>
      <x:c r="E29" s="11" t="n">
        <x:v>0</x:v>
      </x:c>
      <x:c r="F29" s="11" t="n">
        <x:v>610.7237800833</x:v>
      </x:c>
      <x:c r="G29" s="11" t="n">
        <x:v>0.8824659603</x:v>
      </x:c>
      <x:c r="H29" s="11" t="n">
        <x:v>4546.1091603047</x:v>
      </x:c>
      <x:c r="I29" s="11" t="n">
        <x:v>0</x:v>
      </x:c>
      <x:c r="J29" s="11" t="n">
        <x:v>4546.1091603047</x:v>
      </x:c>
      <x:c r="K29" s="15" t="str"/>
    </x:row>
    <x:row r="30" ht="23" customHeight="1">
      <x:c r="A30" s="2" t="str">
        <x:v>Q2-015</x:v>
      </x:c>
      <x:c r="B30" s="2" t="n">
        <x:v>1</x:v>
      </x:c>
      <x:c r="C30" s="2" t="str">
        <x:v>O01</x:v>
      </x:c>
      <x:c r="D30" s="2" t="str">
        <x:v>S009</x:v>
      </x:c>
      <x:c r="E30" s="10" t="n">
        <x:v>25</x:v>
      </x:c>
      <x:c r="F30" s="10" t="n">
        <x:v>460.8214322067</x:v>
      </x:c>
      <x:c r="G30" s="10" t="n">
        <x:v>1.2656726126</x:v>
      </x:c>
      <x:c r="H30" s="10" t="n">
        <x:v>3982.7544223467</x:v>
      </x:c>
      <x:c r="I30" s="10" t="n">
        <x:v>240</x:v>
      </x:c>
      <x:c r="J30" s="10" t="n">
        <x:v>4222.7544223467</x:v>
      </x:c>
      <x:c r="K30" s="14" t="str">
        <x:v>S009-FOD-01;S009-MED-01;S009-WAT-01</x:v>
      </x:c>
    </x:row>
    <x:row r="31" ht="23" customHeight="1">
      <x:c r="A31" s="7" t="str">
        <x:v>Q2-015</x:v>
      </x:c>
      <x:c r="B31" s="7" t="n">
        <x:v>2</x:v>
      </x:c>
      <x:c r="C31" s="7" t="str">
        <x:v>S009</x:v>
      </x:c>
      <x:c r="D31" s="7" t="str">
        <x:v>O01</x:v>
      </x:c>
      <x:c r="E31" s="11" t="n">
        <x:v>0</x:v>
      </x:c>
      <x:c r="F31" s="11" t="n">
        <x:v>467.64143221</x:v>
      </x:c>
      <x:c r="G31" s="11" t="n">
        <x:v>0.8305927893</x:v>
      </x:c>
      <x:c r="H31" s="11" t="n">
        <x:v>4690.3958545567</x:v>
      </x:c>
      <x:c r="I31" s="11" t="n">
        <x:v>0</x:v>
      </x:c>
      <x:c r="J31" s="11" t="n">
        <x:v>4690.3958545567</x:v>
      </x:c>
      <x:c r="K31" s="15" t="str"/>
    </x:row>
    <x:row r="32" ht="23" customHeight="1">
      <x:c r="A32" s="2" t="str">
        <x:v>Q2-016</x:v>
      </x:c>
      <x:c r="B32" s="2" t="n">
        <x:v>1</x:v>
      </x:c>
      <x:c r="C32" s="2" t="str">
        <x:v>O01</x:v>
      </x:c>
      <x:c r="D32" s="2" t="str">
        <x:v>S008</x:v>
      </x:c>
      <x:c r="E32" s="10" t="n">
        <x:v>45</x:v>
      </x:c>
      <x:c r="F32" s="10" t="n">
        <x:v>687.6957623367</x:v>
      </x:c>
      <x:c r="G32" s="10" t="n">
        <x:v>3.3231629643</x:v>
      </x:c>
      <x:c r="H32" s="10" t="n">
        <x:v>5176.6058384167</x:v>
      </x:c>
      <x:c r="I32" s="10" t="n">
        <x:v>360</x:v>
      </x:c>
      <x:c r="J32" s="10" t="n">
        <x:v>5536.6058384167</x:v>
      </x:c>
      <x:c r="K32" s="14" t="str">
        <x:v>S008-FOD-01;S008-HYG-01;S008-MED-01;S008-WAT-01;S008-WAT-02</x:v>
      </x:c>
    </x:row>
    <x:row r="33" ht="23" customHeight="1">
      <x:c r="A33" s="7" t="str">
        <x:v>Q2-016</x:v>
      </x:c>
      <x:c r="B33" s="7" t="n">
        <x:v>2</x:v>
      </x:c>
      <x:c r="C33" s="7" t="str">
        <x:v>S008</x:v>
      </x:c>
      <x:c r="D33" s="7" t="str">
        <x:v>O01</x:v>
      </x:c>
      <x:c r="E33" s="11" t="n">
        <x:v>0</x:v>
      </x:c>
      <x:c r="F33" s="11" t="n">
        <x:v>702.0157623367</x:v>
      </x:c>
      <x:c r="G33" s="11" t="n">
        <x:v>2.5128577039</x:v>
      </x:c>
      <x:c r="H33" s="11" t="n">
        <x:v>6238.6216007533</x:v>
      </x:c>
      <x:c r="I33" s="11" t="n">
        <x:v>0</x:v>
      </x:c>
      <x:c r="J33" s="11" t="n">
        <x:v>6238.6216007533</x:v>
      </x:c>
      <x:c r="K33" s="15" t="str"/>
    </x:row>
    <x:row r="34" ht="23" customHeight="1">
      <x:c r="A34" s="2" t="str">
        <x:v>Q2-017</x:v>
      </x:c>
      <x:c r="B34" s="2" t="n">
        <x:v>1</x:v>
      </x:c>
      <x:c r="C34" s="2" t="str">
        <x:v>O01</x:v>
      </x:c>
      <x:c r="D34" s="2" t="str">
        <x:v>S011</x:v>
      </x:c>
      <x:c r="E34" s="10" t="n">
        <x:v>25</x:v>
      </x:c>
      <x:c r="F34" s="10" t="n">
        <x:v>276.3990480813</x:v>
      </x:c>
      <x:c r="G34" s="10" t="n">
        <x:v>0.6523026521</x:v>
      </x:c>
      <x:c r="H34" s="10" t="n">
        <x:v>5212.5082083813</x:v>
      </x:c>
      <x:c r="I34" s="10" t="n">
        <x:v>240</x:v>
      </x:c>
      <x:c r="J34" s="10" t="n">
        <x:v>5452.5082083813</x:v>
      </x:c>
      <x:c r="K34" s="14" t="str">
        <x:v>S011-FOD-01;S011-MED-01;S011-WAT-01</x:v>
      </x:c>
    </x:row>
    <x:row r="35" ht="23" customHeight="1">
      <x:c r="A35" s="7" t="str">
        <x:v>Q2-017</x:v>
      </x:c>
      <x:c r="B35" s="7" t="n">
        <x:v>2</x:v>
      </x:c>
      <x:c r="C35" s="7" t="str">
        <x:v>S011</x:v>
      </x:c>
      <x:c r="D35" s="7" t="str">
        <x:v>O01</x:v>
      </x:c>
      <x:c r="E35" s="11" t="n">
        <x:v>0</x:v>
      </x:c>
      <x:c r="F35" s="11" t="n">
        <x:v>282.02571475</x:v>
      </x:c>
      <x:c r="G35" s="11" t="n">
        <x:v>0.4216340342</x:v>
      </x:c>
      <x:c r="H35" s="11" t="n">
        <x:v>5734.5339231313</x:v>
      </x:c>
      <x:c r="I35" s="11" t="n">
        <x:v>0</x:v>
      </x:c>
      <x:c r="J35" s="11" t="n">
        <x:v>5734.5339231313</x:v>
      </x:c>
      <x:c r="K35" s="15" t="str"/>
    </x:row>
    <x:row r="36" ht="23" customHeight="1">
      <x:c r="A36" s="2" t="str">
        <x:v>Q2-018</x:v>
      </x:c>
      <x:c r="B36" s="2" t="n">
        <x:v>1</x:v>
      </x:c>
      <x:c r="C36" s="2" t="str">
        <x:v>O01</x:v>
      </x:c>
      <x:c r="D36" s="2" t="str">
        <x:v>S005</x:v>
      </x:c>
      <x:c r="E36" s="10" t="n">
        <x:v>59</x:v>
      </x:c>
      <x:c r="F36" s="10" t="n">
        <x:v>497.2293577633</x:v>
      </x:c>
      <x:c r="G36" s="10" t="n">
        <x:v>2.5625862612</x:v>
      </x:c>
      <x:c r="H36" s="10" t="n">
        <x:v>5572.0581985233</x:v>
      </x:c>
      <x:c r="I36" s="10" t="n">
        <x:v>396</x:v>
      </x:c>
      <x:c r="J36" s="10" t="n">
        <x:v>5968.0581985233</x:v>
      </x:c>
      <x:c r="K36" s="14" t="str">
        <x:v>S005-FOD-01;S005-HYG-01;S005-MED-01;S005-WAT-01;S005-WAT-02;S005-WAT-03</x:v>
      </x:c>
    </x:row>
    <x:row r="37" ht="23" customHeight="1">
      <x:c r="A37" s="7" t="str">
        <x:v>Q2-018</x:v>
      </x:c>
      <x:c r="B37" s="7" t="n">
        <x:v>2</x:v>
      </x:c>
      <x:c r="C37" s="7" t="str">
        <x:v>S005</x:v>
      </x:c>
      <x:c r="D37" s="7" t="str">
        <x:v>O01</x:v>
      </x:c>
      <x:c r="E37" s="11" t="n">
        <x:v>0</x:v>
      </x:c>
      <x:c r="F37" s="11" t="n">
        <x:v>503.9593577633</x:v>
      </x:c>
      <x:c r="G37" s="11" t="n">
        <x:v>1.6595511122</x:v>
      </x:c>
      <x:c r="H37" s="11" t="n">
        <x:v>6472.0175562867</x:v>
      </x:c>
      <x:c r="I37" s="11" t="n">
        <x:v>0</x:v>
      </x:c>
      <x:c r="J37" s="11" t="n">
        <x:v>6472.0175562867</x:v>
      </x:c>
      <x:c r="K37" s="15" t="str"/>
    </x:row>
    <x:row r="38" ht="23" customHeight="1">
      <x:c r="A38" s="2" t="str">
        <x:v>Q2-019</x:v>
      </x:c>
      <x:c r="B38" s="2" t="n">
        <x:v>1</x:v>
      </x:c>
      <x:c r="C38" s="2" t="str">
        <x:v>O01</x:v>
      </x:c>
      <x:c r="D38" s="2" t="str">
        <x:v>S003</x:v>
      </x:c>
      <x:c r="E38" s="10" t="n">
        <x:v>14</x:v>
      </x:c>
      <x:c r="F38" s="10" t="n">
        <x:v>718.27816588</x:v>
      </x:c>
      <x:c r="G38" s="10" t="n">
        <x:v>1.3316502264</x:v>
      </x:c>
      <x:c r="H38" s="10" t="n">
        <x:v>6069.67113629</x:v>
      </x:c>
      <x:c r="I38" s="10" t="n">
        <x:v>210</x:v>
      </x:c>
      <x:c r="J38" s="10" t="n">
        <x:v>6279.67113629</x:v>
      </x:c>
      <x:c r="K38" s="14" t="str">
        <x:v>S003-FOD-02;S003-HYG-01</x:v>
      </x:c>
    </x:row>
    <x:row r="39" ht="23" customHeight="1">
      <x:c r="A39" s="7" t="str">
        <x:v>Q2-019</x:v>
      </x:c>
      <x:c r="B39" s="7" t="n">
        <x:v>2</x:v>
      </x:c>
      <x:c r="C39" s="7" t="str">
        <x:v>S003</x:v>
      </x:c>
      <x:c r="D39" s="7" t="str">
        <x:v>O01</x:v>
      </x:c>
      <x:c r="E39" s="11" t="n">
        <x:v>0</x:v>
      </x:c>
      <x:c r="F39" s="11" t="n">
        <x:v>732.3314992133</x:v>
      </x:c>
      <x:c r="G39" s="11" t="n">
        <x:v>1.0926051761</x:v>
      </x:c>
      <x:c r="H39" s="11" t="n">
        <x:v>7012.0026355033</x:v>
      </x:c>
      <x:c r="I39" s="11" t="n">
        <x:v>0</x:v>
      </x:c>
      <x:c r="J39" s="11" t="n">
        <x:v>7012.0026355033</x:v>
      </x:c>
      <x:c r="K39" s="15" t="str"/>
    </x:row>
    <x:row r="40" ht="23" customHeight="1">
      <x:c r="A40" s="2" t="str">
        <x:v>Q2-020</x:v>
      </x:c>
      <x:c r="B40" s="2" t="n">
        <x:v>1</x:v>
      </x:c>
      <x:c r="C40" s="2" t="str">
        <x:v>O01</x:v>
      </x:c>
      <x:c r="D40" s="2" t="str">
        <x:v>S001</x:v>
      </x:c>
      <x:c r="E40" s="10" t="n">
        <x:v>78</x:v>
      </x:c>
      <x:c r="F40" s="10" t="n">
        <x:v>306.2725229617</x:v>
      </x:c>
      <x:c r="G40" s="10" t="n">
        <x:v>2.0325241674</x:v>
      </x:c>
      <x:c r="H40" s="10" t="n">
        <x:v>7371.4011841217</x:v>
      </x:c>
      <x:c r="I40" s="10" t="n">
        <x:v>396</x:v>
      </x:c>
      <x:c r="J40" s="10" t="n">
        <x:v>7767.4011841217</x:v>
      </x:c>
      <x:c r="K40" s="14" t="str">
        <x:v>S001-FOD-01;S001-WAT-02;S001-WAT-03;S001-WAT-04;S001-WAT-05;S001-WAT-06</x:v>
      </x:c>
    </x:row>
    <x:row r="41" ht="23" customHeight="1">
      <x:c r="A41" s="7" t="str">
        <x:v>Q2-020</x:v>
      </x:c>
      <x:c r="B41" s="7" t="n">
        <x:v>2</x:v>
      </x:c>
      <x:c r="C41" s="7" t="str">
        <x:v>S001</x:v>
      </x:c>
      <x:c r="D41" s="7" t="str">
        <x:v>O01</x:v>
      </x:c>
      <x:c r="E41" s="11" t="n">
        <x:v>0</x:v>
      </x:c>
      <x:c r="F41" s="11" t="n">
        <x:v>311.9025229607</x:v>
      </x:c>
      <x:c r="G41" s="11" t="n">
        <x:v>0.9632516379</x:v>
      </x:c>
      <x:c r="H41" s="11" t="n">
        <x:v>8079.3037070823</x:v>
      </x:c>
      <x:c r="I41" s="11" t="n">
        <x:v>0</x:v>
      </x:c>
      <x:c r="J41" s="11" t="n">
        <x:v>8079.3037070823</x:v>
      </x:c>
      <x:c r="K41" s="15" t="str"/>
    </x:row>
    <x:row r="42" ht="23" customHeight="1">
      <x:c r="A42" s="2" t="str">
        <x:v>Q2-021</x:v>
      </x:c>
      <x:c r="B42" s="2" t="n">
        <x:v>1</x:v>
      </x:c>
      <x:c r="C42" s="2" t="str">
        <x:v>O01</x:v>
      </x:c>
      <x:c r="D42" s="2" t="str">
        <x:v>S006</x:v>
      </x:c>
      <x:c r="E42" s="10" t="n">
        <x:v>70</x:v>
      </x:c>
      <x:c r="F42" s="10" t="n">
        <x:v>333.42131224</x:v>
      </x:c>
      <x:c r="G42" s="10" t="n">
        <x:v>1.879109614</x:v>
      </x:c>
      <x:c r="H42" s="10" t="n">
        <x:v>7752.05114869</x:v>
      </x:c>
      <x:c r="I42" s="10" t="n">
        <x:v>324</x:v>
      </x:c>
      <x:c r="J42" s="10" t="n">
        <x:v>8076.05114869</x:v>
      </x:c>
      <x:c r="K42" s="14" t="str">
        <x:v>S006-FOD-01;S006-HYG-01;S006-WAT-02;S006-WAT-03</x:v>
      </x:c>
    </x:row>
    <x:row r="43" ht="23" customHeight="1">
      <x:c r="A43" s="7" t="str">
        <x:v>Q2-021</x:v>
      </x:c>
      <x:c r="B43" s="7" t="n">
        <x:v>2</x:v>
      </x:c>
      <x:c r="C43" s="7" t="str">
        <x:v>S006</x:v>
      </x:c>
      <x:c r="D43" s="7" t="str">
        <x:v>S007</x:v>
      </x:c>
      <x:c r="E43" s="11" t="n">
        <x:v>28</x:v>
      </x:c>
      <x:c r="F43" s="11" t="n">
        <x:v>398.3187883567</x:v>
      </x:c>
      <x:c r="G43" s="11" t="n">
        <x:v>0.9704074693</x:v>
      </x:c>
      <x:c r="H43" s="11" t="n">
        <x:v>8474.3699370467</x:v>
      </x:c>
      <x:c r="I43" s="11" t="n">
        <x:v>288</x:v>
      </x:c>
      <x:c r="J43" s="11" t="n">
        <x:v>8762.3699370467</x:v>
      </x:c>
      <x:c r="K43" s="15" t="str">
        <x:v>S007-FOD-01;S007-HYG-01;S007-WAT-02</x:v>
      </x:c>
    </x:row>
    <x:row r="44" ht="23" customHeight="1">
      <x:c r="A44" s="2" t="str">
        <x:v>Q2-021</x:v>
      </x:c>
      <x:c r="B44" s="2" t="n">
        <x:v>3</x:v>
      </x:c>
      <x:c r="C44" s="2" t="str">
        <x:v>S007</x:v>
      </x:c>
      <x:c r="D44" s="2" t="str">
        <x:v>O01</x:v>
      </x:c>
      <x:c r="E44" s="10" t="n">
        <x:v>0</x:v>
      </x:c>
      <x:c r="F44" s="10" t="n">
        <x:v>559.8403491667</x:v>
      </x:c>
      <x:c r="G44" s="10" t="n">
        <x:v>1.4385300545</x:v>
      </x:c>
      <x:c r="H44" s="10" t="n">
        <x:v>9322.2102862133</x:v>
      </x:c>
      <x:c r="I44" s="10" t="n">
        <x:v>0</x:v>
      </x:c>
      <x:c r="J44" s="10" t="n">
        <x:v>9322.2102862133</x:v>
      </x:c>
      <x:c r="K44" s="14" t="str"/>
    </x:row>
    <x:row r="45" ht="23" customHeight="1">
      <x:c r="A45" s="7" t="str">
        <x:v>Q2-022</x:v>
      </x:c>
      <x:c r="B45" s="7" t="n">
        <x:v>1</x:v>
      </x:c>
      <x:c r="C45" s="7" t="str">
        <x:v>O01</x:v>
      </x:c>
      <x:c r="D45" s="7" t="str">
        <x:v>S001</x:v>
      </x:c>
      <x:c r="E45" s="11" t="n">
        <x:v>56</x:v>
      </x:c>
      <x:c r="F45" s="11" t="n">
        <x:v>306.2725229617</x:v>
      </x:c>
      <x:c r="G45" s="11" t="n">
        <x:v>1.4417767242</x:v>
      </x:c>
      <x:c r="H45" s="11" t="n">
        <x:v>9235.1189512017</x:v>
      </x:c>
      <x:c r="I45" s="11" t="n">
        <x:v>396</x:v>
      </x:c>
      <x:c r="J45" s="11" t="n">
        <x:v>9631.1189512017</x:v>
      </x:c>
      <x:c r="K45" s="15" t="str">
        <x:v>S001-FOD-02;S001-FOD-03;S001-HYG-01;S001-HYG-02;S001-WAT-07;S001-WAT-08</x:v>
      </x:c>
    </x:row>
    <x:row r="46" ht="23" customHeight="1">
      <x:c r="A46" s="2" t="str">
        <x:v>Q2-022</x:v>
      </x:c>
      <x:c r="B46" s="2" t="n">
        <x:v>2</x:v>
      </x:c>
      <x:c r="C46" s="2" t="str">
        <x:v>S001</x:v>
      </x:c>
      <x:c r="D46" s="2" t="str">
        <x:v>O01</x:v>
      </x:c>
      <x:c r="E46" s="10" t="n">
        <x:v>0</x:v>
      </x:c>
      <x:c r="F46" s="10" t="n">
        <x:v>311.9025229607</x:v>
      </x:c>
      <x:c r="G46" s="10" t="n">
        <x:v>0.9632516379</x:v>
      </x:c>
      <x:c r="H46" s="10" t="n">
        <x:v>9943.0214741623</x:v>
      </x:c>
      <x:c r="I46" s="10" t="n">
        <x:v>0</x:v>
      </x:c>
      <x:c r="J46" s="10" t="n">
        <x:v>9943.0214741623</x:v>
      </x:c>
      <x:c r="K46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3" hidden="0" customWidth="1"/>
    <x:col min="4" max="4" width="16" hidden="0" customWidth="1"/>
    <x:col min="5" max="5" width="21" hidden="0" customWidth="1"/>
    <x:col min="6" max="6" width="21" hidden="0" customWidth="1"/>
    <x:col min="7" max="7" width="22" hidden="0" customWidth="1"/>
    <x:col min="8" max="8" width="14" hidden="0" customWidth="1"/>
    <x:col min="9" max="9" width="14" hidden="0" customWidth="1"/>
  </x:cols>
  <x:sheetData>
    <x:row r="1" ht="38" customHeight="1">
      <x:c r="A1" s="6" t="str">
        <x:v>resource_type</x:v>
      </x:c>
      <x:c r="B1" s="6" t="str">
        <x:v>resource_id</x:v>
      </x:c>
      <x:c r="C1" s="6" t="str">
        <x:v>type_id</x:v>
      </x:c>
      <x:c r="D1" s="6" t="str">
        <x:v>flight_id</x:v>
      </x:c>
      <x:c r="E1" s="6" t="str">
        <x:v>occupied_start_s</x:v>
      </x:c>
      <x:c r="F1" s="6" t="str">
        <x:v>occupied_end_s</x:v>
      </x:c>
      <x:c r="G1" s="6" t="str">
        <x:v>available_again_s</x:v>
      </x:c>
      <x:c r="H1" s="6" t="str">
        <x:v>start_soc</x:v>
      </x:c>
      <x:c r="I1" s="6" t="str">
        <x:v>end_soc</x:v>
      </x:c>
    </x:row>
    <x:row r="2" ht="23" customHeight="1">
      <x:c r="A2" s="2" t="str">
        <x:v>aircraft</x:v>
      </x:c>
      <x:c r="B2" s="2" t="str">
        <x:v>U01</x:v>
      </x:c>
      <x:c r="C2" s="2" t="str">
        <x:v>A</x:v>
      </x:c>
      <x:c r="D2" s="2" t="str">
        <x:v>Q2-001</x:v>
      </x:c>
      <x:c r="E2" s="8" t="n">
        <x:v>0</x:v>
      </x:c>
      <x:c r="F2" s="8" t="n">
        <x:v>1727.46688583</x:v>
      </x:c>
      <x:c r="G2" s="8" t="n">
        <x:v>1727.46688583</x:v>
      </x:c>
      <x:c r="H2" s="12" t="n">
        <x:v>1</x:v>
      </x:c>
      <x:c r="I2" s="12" t="n">
        <x:v>0.5765814888</x:v>
      </x:c>
    </x:row>
    <x:row r="3" ht="23" customHeight="1">
      <x:c r="A3" s="7" t="str">
        <x:v>battery</x:v>
      </x:c>
      <x:c r="B3" s="7" t="str">
        <x:v>BAT-A-01</x:v>
      </x:c>
      <x:c r="C3" s="7" t="str">
        <x:v>A</x:v>
      </x:c>
      <x:c r="D3" s="7" t="str">
        <x:v>Q2-001</x:v>
      </x:c>
      <x:c r="E3" s="9" t="n">
        <x:v>0</x:v>
      </x:c>
      <x:c r="F3" s="9" t="n">
        <x:v>1727.46688583</x:v>
      </x:c>
      <x:c r="G3" s="9" t="n">
        <x:v>2777.91095035</x:v>
      </x:c>
      <x:c r="H3" s="13" t="n">
        <x:v>1</x:v>
      </x:c>
      <x:c r="I3" s="13" t="n">
        <x:v>0.5765814888</x:v>
      </x:c>
    </x:row>
    <x:row r="4" ht="23" customHeight="1">
      <x:c r="A4" s="2" t="str">
        <x:v>aircraft</x:v>
      </x:c>
      <x:c r="B4" s="2" t="str">
        <x:v>U02</x:v>
      </x:c>
      <x:c r="C4" s="2" t="str">
        <x:v>A</x:v>
      </x:c>
      <x:c r="D4" s="2" t="str">
        <x:v>Q2-002</x:v>
      </x:c>
      <x:c r="E4" s="8" t="n">
        <x:v>0</x:v>
      </x:c>
      <x:c r="F4" s="8" t="n">
        <x:v>1990.39888529</x:v>
      </x:c>
      <x:c r="G4" s="8" t="n">
        <x:v>1990.39888529</x:v>
      </x:c>
      <x:c r="H4" s="12" t="n">
        <x:v>1</x:v>
      </x:c>
      <x:c r="I4" s="12" t="n">
        <x:v>0.4909159228</x:v>
      </x:c>
    </x:row>
    <x:row r="5" ht="23" customHeight="1">
      <x:c r="A5" s="7" t="str">
        <x:v>battery</x:v>
      </x:c>
      <x:c r="B5" s="7" t="str">
        <x:v>BAT-A-02</x:v>
      </x:c>
      <x:c r="C5" s="7" t="str">
        <x:v>A</x:v>
      </x:c>
      <x:c r="D5" s="7" t="str">
        <x:v>Q2-002</x:v>
      </x:c>
      <x:c r="E5" s="9" t="n">
        <x:v>0</x:v>
      </x:c>
      <x:c r="F5" s="9" t="n">
        <x:v>1990.39888529</x:v>
      </x:c>
      <x:c r="G5" s="9" t="n">
        <x:v>3152.20818571</x:v>
      </x:c>
      <x:c r="H5" s="13" t="n">
        <x:v>1</x:v>
      </x:c>
      <x:c r="I5" s="13" t="n">
        <x:v>0.4909159228</x:v>
      </x:c>
    </x:row>
    <x:row r="6" ht="23" customHeight="1">
      <x:c r="A6" s="2" t="str">
        <x:v>aircraft</x:v>
      </x:c>
      <x:c r="B6" s="2" t="str">
        <x:v>U03</x:v>
      </x:c>
      <x:c r="C6" s="2" t="str">
        <x:v>A</x:v>
      </x:c>
      <x:c r="D6" s="2" t="str">
        <x:v>Q2-003</x:v>
      </x:c>
      <x:c r="E6" s="8" t="n">
        <x:v>0</x:v>
      </x:c>
      <x:c r="F6" s="8" t="n">
        <x:v>2003.77520846</x:v>
      </x:c>
      <x:c r="G6" s="8" t="n">
        <x:v>2003.77520846</x:v>
      </x:c>
      <x:c r="H6" s="12" t="n">
        <x:v>1</x:v>
      </x:c>
      <x:c r="I6" s="12" t="n">
        <x:v>0.3511071812</x:v>
      </x:c>
    </x:row>
    <x:row r="7" ht="23" customHeight="1">
      <x:c r="A7" s="7" t="str">
        <x:v>battery</x:v>
      </x:c>
      <x:c r="B7" s="7" t="str">
        <x:v>BAT-A-03</x:v>
      </x:c>
      <x:c r="C7" s="7" t="str">
        <x:v>A</x:v>
      </x:c>
      <x:c r="D7" s="7" t="str">
        <x:v>Q2-003</x:v>
      </x:c>
      <x:c r="E7" s="9" t="n">
        <x:v>0</x:v>
      </x:c>
      <x:c r="F7" s="9" t="n">
        <x:v>2003.77520846</x:v>
      </x:c>
      <x:c r="G7" s="9" t="n">
        <x:v>3347.33587292</x:v>
      </x:c>
      <x:c r="H7" s="13" t="n">
        <x:v>1</x:v>
      </x:c>
      <x:c r="I7" s="13" t="n">
        <x:v>0.3511071812</x:v>
      </x:c>
    </x:row>
    <x:row r="8" ht="23" customHeight="1">
      <x:c r="A8" s="2" t="str">
        <x:v>aircraft</x:v>
      </x:c>
      <x:c r="B8" s="2" t="str">
        <x:v>U04</x:v>
      </x:c>
      <x:c r="C8" s="2" t="str">
        <x:v>A</x:v>
      </x:c>
      <x:c r="D8" s="2" t="str">
        <x:v>Q2-004</x:v>
      </x:c>
      <x:c r="E8" s="8" t="n">
        <x:v>0</x:v>
      </x:c>
      <x:c r="F8" s="8" t="n">
        <x:v>1594.89266991</x:v>
      </x:c>
      <x:c r="G8" s="8" t="n">
        <x:v>1594.89266991</x:v>
      </x:c>
      <x:c r="H8" s="12" t="n">
        <x:v>1</x:v>
      </x:c>
      <x:c r="I8" s="12" t="n">
        <x:v>0.5848966726</x:v>
      </x:c>
    </x:row>
    <x:row r="9" ht="23" customHeight="1">
      <x:c r="A9" s="7" t="str">
        <x:v>battery</x:v>
      </x:c>
      <x:c r="B9" s="7" t="str">
        <x:v>BAT-A-04</x:v>
      </x:c>
      <x:c r="C9" s="7" t="str">
        <x:v>A</x:v>
      </x:c>
      <x:c r="D9" s="7" t="str">
        <x:v>Q2-004</x:v>
      </x:c>
      <x:c r="E9" s="9" t="n">
        <x:v>0</x:v>
      </x:c>
      <x:c r="F9" s="9" t="n">
        <x:v>1594.89266991</x:v>
      </x:c>
      <x:c r="G9" s="9" t="n">
        <x:v>2634.52699559</x:v>
      </x:c>
      <x:c r="H9" s="13" t="n">
        <x:v>1</x:v>
      </x:c>
      <x:c r="I9" s="13" t="n">
        <x:v>0.5848966726</x:v>
      </x:c>
    </x:row>
    <x:row r="10" ht="23" customHeight="1">
      <x:c r="A10" s="2" t="str">
        <x:v>aircraft</x:v>
      </x:c>
      <x:c r="B10" s="2" t="str">
        <x:v>U05</x:v>
      </x:c>
      <x:c r="C10" s="2" t="str">
        <x:v>B</x:v>
      </x:c>
      <x:c r="D10" s="2" t="str">
        <x:v>Q2-005</x:v>
      </x:c>
      <x:c r="E10" s="8" t="n">
        <x:v>0</x:v>
      </x:c>
      <x:c r="F10" s="8" t="n">
        <x:v>1209.10617589</x:v>
      </x:c>
      <x:c r="G10" s="8" t="n">
        <x:v>1209.10617589</x:v>
      </x:c>
      <x:c r="H10" s="12" t="n">
        <x:v>1</x:v>
      </x:c>
      <x:c r="I10" s="12" t="n">
        <x:v>0.7315069356</x:v>
      </x:c>
    </x:row>
    <x:row r="11" ht="23" customHeight="1">
      <x:c r="A11" s="7" t="str">
        <x:v>battery</x:v>
      </x:c>
      <x:c r="B11" s="7" t="str">
        <x:v>BAT-B-01</x:v>
      </x:c>
      <x:c r="C11" s="7" t="str">
        <x:v>B</x:v>
      </x:c>
      <x:c r="D11" s="7" t="str">
        <x:v>Q2-005</x:v>
      </x:c>
      <x:c r="E11" s="9" t="n">
        <x:v>0</x:v>
      </x:c>
      <x:c r="F11" s="9" t="n">
        <x:v>1209.10617589</x:v>
      </x:c>
      <x:c r="G11" s="9" t="n">
        <x:v>2341.16082093</x:v>
      </x:c>
      <x:c r="H11" s="13" t="n">
        <x:v>1</x:v>
      </x:c>
      <x:c r="I11" s="13" t="n">
        <x:v>0.7315069356</x:v>
      </x:c>
    </x:row>
    <x:row r="12" ht="23" customHeight="1">
      <x:c r="A12" s="2" t="str">
        <x:v>aircraft</x:v>
      </x:c>
      <x:c r="B12" s="2" t="str">
        <x:v>U06</x:v>
      </x:c>
      <x:c r="C12" s="2" t="str">
        <x:v>B</x:v>
      </x:c>
      <x:c r="D12" s="2" t="str">
        <x:v>Q2-006</x:v>
      </x:c>
      <x:c r="E12" s="8" t="n">
        <x:v>0</x:v>
      </x:c>
      <x:c r="F12" s="8" t="n">
        <x:v>1207.27001136</x:v>
      </x:c>
      <x:c r="G12" s="8" t="n">
        <x:v>1207.27001136</x:v>
      </x:c>
      <x:c r="H12" s="12" t="n">
        <x:v>1</x:v>
      </x:c>
      <x:c r="I12" s="12" t="n">
        <x:v>0.7253131762</x:v>
      </x:c>
    </x:row>
    <x:row r="13" ht="23" customHeight="1">
      <x:c r="A13" s="7" t="str">
        <x:v>battery</x:v>
      </x:c>
      <x:c r="B13" s="7" t="str">
        <x:v>BAT-B-02</x:v>
      </x:c>
      <x:c r="C13" s="7" t="str">
        <x:v>B</x:v>
      </x:c>
      <x:c r="D13" s="7" t="str">
        <x:v>Q2-006</x:v>
      </x:c>
      <x:c r="E13" s="9" t="n">
        <x:v>0</x:v>
      </x:c>
      <x:c r="F13" s="9" t="n">
        <x:v>1207.27001136</x:v>
      </x:c>
      <x:c r="G13" s="9" t="n">
        <x:v>2350.06050597</x:v>
      </x:c>
      <x:c r="H13" s="13" t="n">
        <x:v>1</x:v>
      </x:c>
      <x:c r="I13" s="13" t="n">
        <x:v>0.7253131762</x:v>
      </x:c>
    </x:row>
    <x:row r="14" ht="23" customHeight="1">
      <x:c r="A14" s="2" t="str">
        <x:v>aircraft</x:v>
      </x:c>
      <x:c r="B14" s="2" t="str">
        <x:v>U07</x:v>
      </x:c>
      <x:c r="C14" s="2" t="str">
        <x:v>C</x:v>
      </x:c>
      <x:c r="D14" s="2" t="str">
        <x:v>Q2-007</x:v>
      </x:c>
      <x:c r="E14" s="8" t="n">
        <x:v>0</x:v>
      </x:c>
      <x:c r="F14" s="8" t="n">
        <x:v>2107.84216605</x:v>
      </x:c>
      <x:c r="G14" s="8" t="n">
        <x:v>2107.84216605</x:v>
      </x:c>
      <x:c r="H14" s="12" t="n">
        <x:v>1</x:v>
      </x:c>
      <x:c r="I14" s="12" t="n">
        <x:v>0.2367753809</x:v>
      </x:c>
    </x:row>
    <x:row r="15" ht="23" customHeight="1">
      <x:c r="A15" s="7" t="str">
        <x:v>battery</x:v>
      </x:c>
      <x:c r="B15" s="7" t="str">
        <x:v>BAT-C-01</x:v>
      </x:c>
      <x:c r="C15" s="7" t="str">
        <x:v>C</x:v>
      </x:c>
      <x:c r="D15" s="7" t="str">
        <x:v>Q2-007</x:v>
      </x:c>
      <x:c r="E15" s="9" t="n">
        <x:v>0</x:v>
      </x:c>
      <x:c r="F15" s="9" t="n">
        <x:v>2107.84216605</x:v>
      </x:c>
      <x:c r="G15" s="9" t="n">
        <x:v>4594.82884076</x:v>
      </x:c>
      <x:c r="H15" s="13" t="n">
        <x:v>1</x:v>
      </x:c>
      <x:c r="I15" s="13" t="n">
        <x:v>0.2367753809</x:v>
      </x:c>
    </x:row>
    <x:row r="16" ht="23" customHeight="1">
      <x:c r="A16" s="2" t="str">
        <x:v>aircraft</x:v>
      </x:c>
      <x:c r="B16" s="2" t="str">
        <x:v>U08</x:v>
      </x:c>
      <x:c r="C16" s="2" t="str">
        <x:v>C</x:v>
      </x:c>
      <x:c r="D16" s="2" t="str">
        <x:v>Q2-008</x:v>
      </x:c>
      <x:c r="E16" s="8" t="n">
        <x:v>0</x:v>
      </x:c>
      <x:c r="F16" s="8" t="n">
        <x:v>1602.73236492</x:v>
      </x:c>
      <x:c r="G16" s="8" t="n">
        <x:v>1602.73236492</x:v>
      </x:c>
      <x:c r="H16" s="12" t="n">
        <x:v>1</x:v>
      </x:c>
      <x:c r="I16" s="12" t="n">
        <x:v>0.6062674192</x:v>
      </x:c>
    </x:row>
    <x:row r="17" ht="23" customHeight="1">
      <x:c r="A17" s="7" t="str">
        <x:v>battery</x:v>
      </x:c>
      <x:c r="B17" s="7" t="str">
        <x:v>BAT-C-02</x:v>
      </x:c>
      <x:c r="C17" s="7" t="str">
        <x:v>C</x:v>
      </x:c>
      <x:c r="D17" s="7" t="str">
        <x:v>Q2-008</x:v>
      </x:c>
      <x:c r="E17" s="9" t="n">
        <x:v>0</x:v>
      </x:c>
      <x:c r="F17" s="9" t="n">
        <x:v>1602.73236492</x:v>
      </x:c>
      <x:c r="G17" s="9" t="n">
        <x:v>3289.15295659</x:v>
      </x:c>
      <x:c r="H17" s="13" t="n">
        <x:v>1</x:v>
      </x:c>
      <x:c r="I17" s="13" t="n">
        <x:v>0.6062674192</x:v>
      </x:c>
    </x:row>
    <x:row r="18" ht="23" customHeight="1">
      <x:c r="A18" s="2" t="str">
        <x:v>aircraft</x:v>
      </x:c>
      <x:c r="B18" s="2" t="str">
        <x:v>U06</x:v>
      </x:c>
      <x:c r="C18" s="2" t="str">
        <x:v>B</x:v>
      </x:c>
      <x:c r="D18" s="2" t="str">
        <x:v>Q2-009</x:v>
      </x:c>
      <x:c r="E18" s="8" t="n">
        <x:v>1207.27001136</x:v>
      </x:c>
      <x:c r="F18" s="8" t="n">
        <x:v>2717.78160014</x:v>
      </x:c>
      <x:c r="G18" s="8" t="n">
        <x:v>2717.78160014</x:v>
      </x:c>
      <x:c r="H18" s="12" t="n">
        <x:v>1</x:v>
      </x:c>
      <x:c r="I18" s="12" t="n">
        <x:v>0.5437929522</x:v>
      </x:c>
    </x:row>
    <x:row r="19" ht="23" customHeight="1">
      <x:c r="A19" s="7" t="str">
        <x:v>battery</x:v>
      </x:c>
      <x:c r="B19" s="7" t="str">
        <x:v>BAT-B-03</x:v>
      </x:c>
      <x:c r="C19" s="7" t="str">
        <x:v>B</x:v>
      </x:c>
      <x:c r="D19" s="7" t="str">
        <x:v>Q2-009</x:v>
      </x:c>
      <x:c r="E19" s="9" t="n">
        <x:v>1207.27001136</x:v>
      </x:c>
      <x:c r="F19" s="9" t="n">
        <x:v>2717.78160014</x:v>
      </x:c>
      <x:c r="G19" s="9" t="n">
        <x:v>4175.20714967</x:v>
      </x:c>
      <x:c r="H19" s="13" t="n">
        <x:v>1</x:v>
      </x:c>
      <x:c r="I19" s="13" t="n">
        <x:v>0.5437929522</x:v>
      </x:c>
    </x:row>
    <x:row r="20" ht="23" customHeight="1">
      <x:c r="A20" s="2" t="str">
        <x:v>aircraft</x:v>
      </x:c>
      <x:c r="B20" s="2" t="str">
        <x:v>U05</x:v>
      </x:c>
      <x:c r="C20" s="2" t="str">
        <x:v>B</x:v>
      </x:c>
      <x:c r="D20" s="2" t="str">
        <x:v>Q2-010</x:v>
      </x:c>
      <x:c r="E20" s="8" t="n">
        <x:v>1209.10617589</x:v>
      </x:c>
      <x:c r="F20" s="8" t="n">
        <x:v>3131.93299014</x:v>
      </x:c>
      <x:c r="G20" s="8" t="n">
        <x:v>3131.93299014</x:v>
      </x:c>
      <x:c r="H20" s="12" t="n">
        <x:v>1</x:v>
      </x:c>
      <x:c r="I20" s="12" t="n">
        <x:v>0.3118500114</x:v>
      </x:c>
    </x:row>
    <x:row r="21" ht="23" customHeight="1">
      <x:c r="A21" s="7" t="str">
        <x:v>battery</x:v>
      </x:c>
      <x:c r="B21" s="7" t="str">
        <x:v>BAT-B-04</x:v>
      </x:c>
      <x:c r="C21" s="7" t="str">
        <x:v>B</x:v>
      </x:c>
      <x:c r="D21" s="7" t="str">
        <x:v>Q2-010</x:v>
      </x:c>
      <x:c r="E21" s="9" t="n">
        <x:v>1209.10617589</x:v>
      </x:c>
      <x:c r="F21" s="9" t="n">
        <x:v>3131.93299014</x:v>
      </x:c>
      <x:c r="G21" s="9" t="n">
        <x:v>4991.39297041</x:v>
      </x:c>
      <x:c r="H21" s="13" t="n">
        <x:v>1</x:v>
      </x:c>
      <x:c r="I21" s="13" t="n">
        <x:v>0.3118500114</x:v>
      </x:c>
    </x:row>
    <x:row r="22" ht="23" customHeight="1">
      <x:c r="A22" s="2" t="str">
        <x:v>aircraft</x:v>
      </x:c>
      <x:c r="B22" s="2" t="str">
        <x:v>U04</x:v>
      </x:c>
      <x:c r="C22" s="2" t="str">
        <x:v>A</x:v>
      </x:c>
      <x:c r="D22" s="2" t="str">
        <x:v>Q2-011</x:v>
      </x:c>
      <x:c r="E22" s="8" t="n">
        <x:v>1594.89266991</x:v>
      </x:c>
      <x:c r="F22" s="8" t="n">
        <x:v>3525.2915552</x:v>
      </x:c>
      <x:c r="G22" s="8" t="n">
        <x:v>3525.2915552</x:v>
      </x:c>
      <x:c r="H22" s="12" t="n">
        <x:v>1</x:v>
      </x:c>
      <x:c r="I22" s="12" t="n">
        <x:v>0.5136683063</x:v>
      </x:c>
    </x:row>
    <x:row r="23" ht="23" customHeight="1">
      <x:c r="A23" s="7" t="str">
        <x:v>battery</x:v>
      </x:c>
      <x:c r="B23" s="7" t="str">
        <x:v>BAT-A-05</x:v>
      </x:c>
      <x:c r="C23" s="7" t="str">
        <x:v>A</x:v>
      </x:c>
      <x:c r="D23" s="7" t="str">
        <x:v>Q2-011</x:v>
      </x:c>
      <x:c r="E23" s="9" t="n">
        <x:v>1594.89266991</x:v>
      </x:c>
      <x:c r="F23" s="9" t="n">
        <x:v>3525.2915552</x:v>
      </x:c>
      <x:c r="G23" s="9" t="n">
        <x:v>4657.522757</x:v>
      </x:c>
      <x:c r="H23" s="13" t="n">
        <x:v>1</x:v>
      </x:c>
      <x:c r="I23" s="13" t="n">
        <x:v>0.5136683063</x:v>
      </x:c>
    </x:row>
    <x:row r="24" ht="23" customHeight="1">
      <x:c r="A24" s="2" t="str">
        <x:v>aircraft</x:v>
      </x:c>
      <x:c r="B24" s="2" t="str">
        <x:v>U08</x:v>
      </x:c>
      <x:c r="C24" s="2" t="str">
        <x:v>C</x:v>
      </x:c>
      <x:c r="D24" s="2" t="str">
        <x:v>Q2-012</x:v>
      </x:c>
      <x:c r="E24" s="8" t="n">
        <x:v>1602.73236492</x:v>
      </x:c>
      <x:c r="F24" s="8" t="n">
        <x:v>4038.91007608</x:v>
      </x:c>
      <x:c r="G24" s="8" t="n">
        <x:v>4038.91007608</x:v>
      </x:c>
      <x:c r="H24" s="12" t="n">
        <x:v>1</x:v>
      </x:c>
      <x:c r="I24" s="12" t="n">
        <x:v>0.2094375761</x:v>
      </x:c>
    </x:row>
    <x:row r="25" ht="23" customHeight="1">
      <x:c r="A25" s="7" t="str">
        <x:v>battery</x:v>
      </x:c>
      <x:c r="B25" s="7" t="str">
        <x:v>BAT-C-03</x:v>
      </x:c>
      <x:c r="C25" s="7" t="str">
        <x:v>C</x:v>
      </x:c>
      <x:c r="D25" s="7" t="str">
        <x:v>Q2-012</x:v>
      </x:c>
      <x:c r="E25" s="9" t="n">
        <x:v>1602.73236492</x:v>
      </x:c>
      <x:c r="F25" s="9" t="n">
        <x:v>4038.91007608</x:v>
      </x:c>
      <x:c r="G25" s="9" t="n">
        <x:v>6585.12866116</x:v>
      </x:c>
      <x:c r="H25" s="13" t="n">
        <x:v>1</x:v>
      </x:c>
      <x:c r="I25" s="13" t="n">
        <x:v>0.2094375761</x:v>
      </x:c>
    </x:row>
    <x:row r="26" ht="23" customHeight="1">
      <x:c r="A26" s="2" t="str">
        <x:v>aircraft</x:v>
      </x:c>
      <x:c r="B26" s="2" t="str">
        <x:v>U07</x:v>
      </x:c>
      <x:c r="C26" s="2" t="str">
        <x:v>C</x:v>
      </x:c>
      <x:c r="D26" s="2" t="str">
        <x:v>Q2-013</x:v>
      </x:c>
      <x:c r="E26" s="8" t="n">
        <x:v>2107.84216605</x:v>
      </x:c>
      <x:c r="F26" s="8" t="n">
        <x:v>4408.89688486</x:v>
      </x:c>
      <x:c r="G26" s="8" t="n">
        <x:v>4408.89688486</x:v>
      </x:c>
      <x:c r="H26" s="12" t="n">
        <x:v>1</x:v>
      </x:c>
      <x:c r="I26" s="12" t="n">
        <x:v>0.2308924839</x:v>
      </x:c>
    </x:row>
    <x:row r="27" ht="23" customHeight="1">
      <x:c r="A27" s="7" t="str">
        <x:v>battery</x:v>
      </x:c>
      <x:c r="B27" s="7" t="str">
        <x:v>BAT-C-04</x:v>
      </x:c>
      <x:c r="C27" s="7" t="str">
        <x:v>C</x:v>
      </x:c>
      <x:c r="D27" s="7" t="str">
        <x:v>Q2-013</x:v>
      </x:c>
      <x:c r="E27" s="9" t="n">
        <x:v>2107.84216605</x:v>
      </x:c>
      <x:c r="F27" s="9" t="n">
        <x:v>4408.89688486</x:v>
      </x:c>
      <x:c r="G27" s="9" t="n">
        <x:v>6908.62983645</x:v>
      </x:c>
      <x:c r="H27" s="13" t="n">
        <x:v>1</x:v>
      </x:c>
      <x:c r="I27" s="13" t="n">
        <x:v>0.2308924839</x:v>
      </x:c>
    </x:row>
    <x:row r="28" ht="23" customHeight="1">
      <x:c r="A28" s="2" t="str">
        <x:v>aircraft</x:v>
      </x:c>
      <x:c r="B28" s="2" t="str">
        <x:v>U06</x:v>
      </x:c>
      <x:c r="C28" s="2" t="str">
        <x:v>B</x:v>
      </x:c>
      <x:c r="D28" s="2" t="str">
        <x:v>Q2-014</x:v>
      </x:c>
      <x:c r="E28" s="8" t="n">
        <x:v>2717.78160014</x:v>
      </x:c>
      <x:c r="F28" s="8" t="n">
        <x:v>4546.1091603</x:v>
      </x:c>
      <x:c r="G28" s="8" t="n">
        <x:v>4546.1091603</x:v>
      </x:c>
      <x:c r="H28" s="12" t="n">
        <x:v>1</x:v>
      </x:c>
      <x:c r="I28" s="12" t="n">
        <x:v>0.4231178736</x:v>
      </x:c>
    </x:row>
    <x:row r="29" ht="23" customHeight="1">
      <x:c r="A29" s="7" t="str">
        <x:v>battery</x:v>
      </x:c>
      <x:c r="B29" s="7" t="str">
        <x:v>BAT-B-01</x:v>
      </x:c>
      <x:c r="C29" s="7" t="str">
        <x:v>B</x:v>
      </x:c>
      <x:c r="D29" s="7" t="str">
        <x:v>Q2-014</x:v>
      </x:c>
      <x:c r="E29" s="9" t="n">
        <x:v>2717.78160014</x:v>
      </x:c>
      <x:c r="F29" s="9" t="n">
        <x:v>4546.1091603</x:v>
      </x:c>
      <x:c r="G29" s="9" t="n">
        <x:v>6212.7048461</x:v>
      </x:c>
      <x:c r="H29" s="13" t="n">
        <x:v>1</x:v>
      </x:c>
      <x:c r="I29" s="13" t="n">
        <x:v>0.4231178736</x:v>
      </x:c>
    </x:row>
    <x:row r="30" ht="23" customHeight="1">
      <x:c r="A30" s="2" t="str">
        <x:v>aircraft</x:v>
      </x:c>
      <x:c r="B30" s="2" t="str">
        <x:v>U05</x:v>
      </x:c>
      <x:c r="C30" s="2" t="str">
        <x:v>B</x:v>
      </x:c>
      <x:c r="D30" s="2" t="str">
        <x:v>Q2-015</x:v>
      </x:c>
      <x:c r="E30" s="8" t="n">
        <x:v>3131.93299014</x:v>
      </x:c>
      <x:c r="F30" s="8" t="n">
        <x:v>4690.39585456</x:v>
      </x:c>
      <x:c r="G30" s="8" t="n">
        <x:v>4690.39585456</x:v>
      </x:c>
      <x:c r="H30" s="12" t="n">
        <x:v>1</x:v>
      </x:c>
      <x:c r="I30" s="12" t="n">
        <x:v>0.4759336495</x:v>
      </x:c>
    </x:row>
    <x:row r="31" ht="23" customHeight="1">
      <x:c r="A31" s="7" t="str">
        <x:v>battery</x:v>
      </x:c>
      <x:c r="B31" s="7" t="str">
        <x:v>BAT-B-02</x:v>
      </x:c>
      <x:c r="C31" s="7" t="str">
        <x:v>B</x:v>
      </x:c>
      <x:c r="D31" s="7" t="str">
        <x:v>Q2-015</x:v>
      </x:c>
      <x:c r="E31" s="9" t="n">
        <x:v>3131.93299014</x:v>
      </x:c>
      <x:c r="F31" s="9" t="n">
        <x:v>4690.39585456</x:v>
      </x:c>
      <x:c r="G31" s="9" t="n">
        <x:v>6265.44419538</x:v>
      </x:c>
      <x:c r="H31" s="13" t="n">
        <x:v>1</x:v>
      </x:c>
      <x:c r="I31" s="13" t="n">
        <x:v>0.4759336495</x:v>
      </x:c>
    </x:row>
    <x:row r="32" ht="23" customHeight="1">
      <x:c r="A32" s="2" t="str">
        <x:v>aircraft</x:v>
      </x:c>
      <x:c r="B32" s="2" t="str">
        <x:v>U08</x:v>
      </x:c>
      <x:c r="C32" s="2" t="str">
        <x:v>C</x:v>
      </x:c>
      <x:c r="D32" s="2" t="str">
        <x:v>Q2-016</x:v>
      </x:c>
      <x:c r="E32" s="8" t="n">
        <x:v>4038.91007608</x:v>
      </x:c>
      <x:c r="F32" s="8" t="n">
        <x:v>6238.62160075</x:v>
      </x:c>
      <x:c r="G32" s="8" t="n">
        <x:v>6238.62160075</x:v>
      </x:c>
      <x:c r="H32" s="12" t="n">
        <x:v>1</x:v>
      </x:c>
      <x:c r="I32" s="12" t="n">
        <x:v>0.2704974165</x:v>
      </x:c>
    </x:row>
    <x:row r="33" ht="23" customHeight="1">
      <x:c r="A33" s="7" t="str">
        <x:v>battery</x:v>
      </x:c>
      <x:c r="B33" s="7" t="str">
        <x:v>BAT-C-02</x:v>
      </x:c>
      <x:c r="C33" s="7" t="str">
        <x:v>C</x:v>
      </x:c>
      <x:c r="D33" s="7" t="str">
        <x:v>Q2-016</x:v>
      </x:c>
      <x:c r="E33" s="9" t="n">
        <x:v>4038.91007608</x:v>
      </x:c>
      <x:c r="F33" s="9" t="n">
        <x:v>6238.62160075</x:v>
      </x:c>
      <x:c r="G33" s="9" t="n">
        <x:v>8652.54386504</x:v>
      </x:c>
      <x:c r="H33" s="13" t="n">
        <x:v>1</x:v>
      </x:c>
      <x:c r="I33" s="13" t="n">
        <x:v>0.2704974165</x:v>
      </x:c>
    </x:row>
    <x:row r="34" ht="23" customHeight="1">
      <x:c r="A34" s="2" t="str">
        <x:v>aircraft</x:v>
      </x:c>
      <x:c r="B34" s="2" t="str">
        <x:v>U06</x:v>
      </x:c>
      <x:c r="C34" s="2" t="str">
        <x:v>B</x:v>
      </x:c>
      <x:c r="D34" s="2" t="str">
        <x:v>Q2-017</x:v>
      </x:c>
      <x:c r="E34" s="8" t="n">
        <x:v>4546.1091603</x:v>
      </x:c>
      <x:c r="F34" s="8" t="n">
        <x:v>5734.53392314</x:v>
      </x:c>
      <x:c r="G34" s="8" t="n">
        <x:v>5734.53392314</x:v>
      </x:c>
      <x:c r="H34" s="12" t="n">
        <x:v>1</x:v>
      </x:c>
      <x:c r="I34" s="12" t="n">
        <x:v>0.7315158284</x:v>
      </x:c>
    </x:row>
    <x:row r="35" ht="23" customHeight="1">
      <x:c r="A35" s="7" t="str">
        <x:v>battery</x:v>
      </x:c>
      <x:c r="B35" s="7" t="str">
        <x:v>BAT-B-03</x:v>
      </x:c>
      <x:c r="C35" s="7" t="str">
        <x:v>B</x:v>
      </x:c>
      <x:c r="D35" s="7" t="str">
        <x:v>Q2-017</x:v>
      </x:c>
      <x:c r="E35" s="9" t="n">
        <x:v>4546.1091603</x:v>
      </x:c>
      <x:c r="F35" s="9" t="n">
        <x:v>5734.53392314</x:v>
      </x:c>
      <x:c r="G35" s="9" t="n">
        <x:v>6866.57315385</x:v>
      </x:c>
      <x:c r="H35" s="13" t="n">
        <x:v>1</x:v>
      </x:c>
      <x:c r="I35" s="13" t="n">
        <x:v>0.7315158284</x:v>
      </x:c>
    </x:row>
    <x:row r="36" ht="23" customHeight="1">
      <x:c r="A36" s="2" t="str">
        <x:v>aircraft</x:v>
      </x:c>
      <x:c r="B36" s="2" t="str">
        <x:v>U07</x:v>
      </x:c>
      <x:c r="C36" s="2" t="str">
        <x:v>C</x:v>
      </x:c>
      <x:c r="D36" s="2" t="str">
        <x:v>Q2-018</x:v>
      </x:c>
      <x:c r="E36" s="8" t="n">
        <x:v>4594.82884076</x:v>
      </x:c>
      <x:c r="F36" s="8" t="n">
        <x:v>6472.01755629</x:v>
      </x:c>
      <x:c r="G36" s="8" t="n">
        <x:v>6472.01755629</x:v>
      </x:c>
      <x:c r="H36" s="12" t="n">
        <x:v>1</x:v>
      </x:c>
      <x:c r="I36" s="12" t="n">
        <x:v>0.4722328283</x:v>
      </x:c>
    </x:row>
    <x:row r="37" ht="23" customHeight="1">
      <x:c r="A37" s="7" t="str">
        <x:v>battery</x:v>
      </x:c>
      <x:c r="B37" s="7" t="str">
        <x:v>BAT-C-01</x:v>
      </x:c>
      <x:c r="C37" s="7" t="str">
        <x:v>C</x:v>
      </x:c>
      <x:c r="D37" s="7" t="str">
        <x:v>Q2-018</x:v>
      </x:c>
      <x:c r="E37" s="9" t="n">
        <x:v>4594.82884076</x:v>
      </x:c>
      <x:c r="F37" s="9" t="n">
        <x:v>6472.01755629</x:v>
      </x:c>
      <x:c r="G37" s="9" t="n">
        <x:v>8448.84642824</x:v>
      </x:c>
      <x:c r="H37" s="13" t="n">
        <x:v>1</x:v>
      </x:c>
      <x:c r="I37" s="13" t="n">
        <x:v>0.4722328283</x:v>
      </x:c>
    </x:row>
    <x:row r="38" ht="23" customHeight="1">
      <x:c r="A38" s="2" t="str">
        <x:v>aircraft</x:v>
      </x:c>
      <x:c r="B38" s="2" t="str">
        <x:v>U05</x:v>
      </x:c>
      <x:c r="C38" s="2" t="str">
        <x:v>B</x:v>
      </x:c>
      <x:c r="D38" s="2" t="str">
        <x:v>Q2-019</x:v>
      </x:c>
      <x:c r="E38" s="8" t="n">
        <x:v>4991.39297041</x:v>
      </x:c>
      <x:c r="F38" s="8" t="n">
        <x:v>7012.00263551</x:v>
      </x:c>
      <x:c r="G38" s="8" t="n">
        <x:v>7012.00263551</x:v>
      </x:c>
      <x:c r="H38" s="12" t="n">
        <x:v>1</x:v>
      </x:c>
      <x:c r="I38" s="12" t="n">
        <x:v>0.3939361494</x:v>
      </x:c>
    </x:row>
    <x:row r="39" ht="23" customHeight="1">
      <x:c r="A39" s="7" t="str">
        <x:v>battery</x:v>
      </x:c>
      <x:c r="B39" s="7" t="str">
        <x:v>BAT-B-04</x:v>
      </x:c>
      <x:c r="C39" s="7" t="str">
        <x:v>B</x:v>
      </x:c>
      <x:c r="D39" s="7" t="str">
        <x:v>Q2-019</x:v>
      </x:c>
      <x:c r="E39" s="9" t="n">
        <x:v>4991.39297041</x:v>
      </x:c>
      <x:c r="F39" s="9" t="n">
        <x:v>7012.00263551</x:v>
      </x:c>
      <x:c r="G39" s="9" t="n">
        <x:v>8729.1799766</x:v>
      </x:c>
      <x:c r="H39" s="13" t="n">
        <x:v>1</x:v>
      </x:c>
      <x:c r="I39" s="13" t="n">
        <x:v>0.3939361494</x:v>
      </x:c>
    </x:row>
    <x:row r="40" ht="23" customHeight="1">
      <x:c r="A40" s="2" t="str">
        <x:v>aircraft</x:v>
      </x:c>
      <x:c r="B40" s="2" t="str">
        <x:v>U07</x:v>
      </x:c>
      <x:c r="C40" s="2" t="str">
        <x:v>C</x:v>
      </x:c>
      <x:c r="D40" s="2" t="str">
        <x:v>Q2-020</x:v>
      </x:c>
      <x:c r="E40" s="8" t="n">
        <x:v>6585.12866116</x:v>
      </x:c>
      <x:c r="F40" s="8" t="n">
        <x:v>8079.30370708</x:v>
      </x:c>
      <x:c r="G40" s="8" t="n">
        <x:v>8079.30370708</x:v>
      </x:c>
      <x:c r="H40" s="12" t="n">
        <x:v>1</x:v>
      </x:c>
      <x:c r="I40" s="12" t="n">
        <x:v>0.6255280243</x:v>
      </x:c>
    </x:row>
    <x:row r="41" ht="23" customHeight="1">
      <x:c r="A41" s="7" t="str">
        <x:v>battery</x:v>
      </x:c>
      <x:c r="B41" s="7" t="str">
        <x:v>BAT-C-03</x:v>
      </x:c>
      <x:c r="C41" s="7" t="str">
        <x:v>C</x:v>
      </x:c>
      <x:c r="D41" s="7" t="str">
        <x:v>Q2-020</x:v>
      </x:c>
      <x:c r="E41" s="9" t="n">
        <x:v>6585.12866116</x:v>
      </x:c>
      <x:c r="F41" s="9" t="n">
        <x:v>8079.30370708</x:v>
      </x:c>
      <x:c r="G41" s="9" t="n">
        <x:v>9723.9929877</x:v>
      </x:c>
      <x:c r="H41" s="13" t="n">
        <x:v>1</x:v>
      </x:c>
      <x:c r="I41" s="13" t="n">
        <x:v>0.6255280243</x:v>
      </x:c>
    </x:row>
    <x:row r="42" ht="23" customHeight="1">
      <x:c r="A42" s="2" t="str">
        <x:v>aircraft</x:v>
      </x:c>
      <x:c r="B42" s="2" t="str">
        <x:v>U08</x:v>
      </x:c>
      <x:c r="C42" s="2" t="str">
        <x:v>C</x:v>
      </x:c>
      <x:c r="D42" s="2" t="str">
        <x:v>Q2-021</x:v>
      </x:c>
      <x:c r="E42" s="8" t="n">
        <x:v>6908.62983645</x:v>
      </x:c>
      <x:c r="F42" s="8" t="n">
        <x:v>9322.21028622</x:v>
      </x:c>
      <x:c r="G42" s="8" t="n">
        <x:v>9322.21028622</x:v>
      </x:c>
      <x:c r="H42" s="12" t="n">
        <x:v>1</x:v>
      </x:c>
      <x:c r="I42" s="12" t="n">
        <x:v>0.4639941078</x:v>
      </x:c>
    </x:row>
    <x:row r="43" ht="23" customHeight="1">
      <x:c r="A43" s="7" t="str">
        <x:v>battery</x:v>
      </x:c>
      <x:c r="B43" s="7" t="str">
        <x:v>BAT-C-04</x:v>
      </x:c>
      <x:c r="C43" s="7" t="str">
        <x:v>C</x:v>
      </x:c>
      <x:c r="D43" s="7" t="str">
        <x:v>Q2-021</x:v>
      </x:c>
      <x:c r="E43" s="9" t="n">
        <x:v>6908.62983645</x:v>
      </x:c>
      <x:c r="F43" s="9" t="n">
        <x:v>9322.21028622</x:v>
      </x:c>
      <x:c r="G43" s="9" t="n">
        <x:v>11316.8897193</x:v>
      </x:c>
      <x:c r="H43" s="13" t="n">
        <x:v>1</x:v>
      </x:c>
      <x:c r="I43" s="13" t="n">
        <x:v>0.4639941078</x:v>
      </x:c>
    </x:row>
    <x:row r="44" ht="23" customHeight="1">
      <x:c r="A44" s="2" t="str">
        <x:v>aircraft</x:v>
      </x:c>
      <x:c r="B44" s="2" t="str">
        <x:v>U07</x:v>
      </x:c>
      <x:c r="C44" s="2" t="str">
        <x:v>C</x:v>
      </x:c>
      <x:c r="D44" s="2" t="str">
        <x:v>Q2-022</x:v>
      </x:c>
      <x:c r="E44" s="8" t="n">
        <x:v>8448.84642824</x:v>
      </x:c>
      <x:c r="F44" s="8" t="n">
        <x:v>9943.02147417</x:v>
      </x:c>
      <x:c r="G44" s="8" t="n">
        <x:v>9943.02147417</x:v>
      </x:c>
      <x:c r="H44" s="12" t="n">
        <x:v>1</x:v>
      </x:c>
      <x:c r="I44" s="12" t="n">
        <x:v>0.6993714547</x:v>
      </x:c>
    </x:row>
    <x:row r="45" ht="23" customHeight="1">
      <x:c r="A45" s="7" t="str">
        <x:v>battery</x:v>
      </x:c>
      <x:c r="B45" s="7" t="str">
        <x:v>BAT-C-01</x:v>
      </x:c>
      <x:c r="C45" s="7" t="str">
        <x:v>C</x:v>
      </x:c>
      <x:c r="D45" s="7" t="str">
        <x:v>Q2-022</x:v>
      </x:c>
      <x:c r="E45" s="9" t="n">
        <x:v>8448.84642824</x:v>
      </x:c>
      <x:c r="F45" s="9" t="n">
        <x:v>9943.02147417</x:v>
      </x:c>
      <x:c r="G45" s="9" t="n">
        <x:v>11427.7166556</x:v>
      </x:c>
      <x:c r="H45" s="13" t="n">
        <x:v>1</x:v>
      </x:c>
      <x:c r="I45" s="13" t="n">
        <x:v>0.6993714547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BB5AE"/>
  </x:sheetPr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23" hidden="0" customWidth="1"/>
    <x:col min="6" max="6" width="18" hidden="0" customWidth="1"/>
    <x:col min="7" max="7" width="20" hidden="0" customWidth="1"/>
    <x:col min="8" max="8" width="18" hidden="0" customWidth="1"/>
    <x:col min="9" max="9" width="13" hidden="0" customWidth="1"/>
  </x:cols>
  <x:sheetData>
    <x:row r="1" ht="38" customHeight="1">
      <x:c r="A1" s="6" t="str">
        <x:v>policy</x:v>
      </x:c>
      <x:c r="B1" s="6" t="str">
        <x:v>hard_violations</x:v>
      </x:c>
      <x:c r="C1" s="6" t="str">
        <x:v>max_hard_lateness_s</x:v>
      </x:c>
      <x:c r="D1" s="6" t="str">
        <x:v>weighted_tardiness</x:v>
      </x:c>
      <x:c r="E1" s="6" t="str">
        <x:v>weighted_delivery_ratio</x:v>
      </x:c>
      <x:c r="F1" s="6" t="str">
        <x:v>on_time_boxes</x:v>
      </x:c>
      <x:c r="G1" s="6" t="str">
        <x:v>makespan_s</x:v>
      </x:c>
      <x:c r="H1" s="6" t="str">
        <x:v>energy_kwh</x:v>
      </x:c>
      <x:c r="I1" s="6" t="str">
        <x:v>trips</x:v>
      </x:c>
    </x:row>
    <x:row r="2" ht="23" customHeight="1">
      <x:c r="A2" s="2" t="str">
        <x:v>balanced</x:v>
      </x:c>
      <x:c r="B2" s="10" t="n">
        <x:v>0</x:v>
      </x:c>
      <x:c r="C2" s="10" t="n">
        <x:v>0</x:v>
      </x:c>
      <x:c r="D2" s="10" t="n">
        <x:v>167.6402482086</x:v>
      </x:c>
      <x:c r="E2" s="10" t="n">
        <x:v>0.7030414316</x:v>
      </x:c>
      <x:c r="F2" s="10" t="n">
        <x:v>65</x:v>
      </x:c>
      <x:c r="G2" s="10" t="n">
        <x:v>9943.021474165</x:v>
      </x:c>
      <x:c r="H2" s="10" t="n">
        <x:v>67.3048970885</x:v>
      </x:c>
      <x:c r="I2" s="10" t="n">
        <x:v>22</x:v>
      </x:c>
    </x:row>
    <x:row r="3" ht="23" customHeight="1">
      <x:c r="A3" s="7" t="str">
        <x:v>timely</x:v>
      </x:c>
      <x:c r="B3" s="11" t="n">
        <x:v>0</x:v>
      </x:c>
      <x:c r="C3" s="11" t="n">
        <x:v>0</x:v>
      </x:c>
      <x:c r="D3" s="11" t="n">
        <x:v>144.0532037023</x:v>
      </x:c>
      <x:c r="E3" s="11" t="n">
        <x:v>0.7731527167</x:v>
      </x:c>
      <x:c r="F3" s="11" t="n">
        <x:v>69</x:v>
      </x:c>
      <x:c r="G3" s="11" t="n">
        <x:v>10715.5853993969</x:v>
      </x:c>
      <x:c r="H3" s="11" t="n">
        <x:v>60.940670617</x:v>
      </x:c>
      <x:c r="I3" s="11" t="n">
        <x:v>17</x:v>
      </x:c>
    </x:row>
    <x:row r="4" ht="23" customHeight="1">
      <x:c r="A4" s="2" t="str">
        <x:v>makespan</x:v>
      </x:c>
      <x:c r="B4" s="10" t="n">
        <x:v>0</x:v>
      </x:c>
      <x:c r="C4" s="10" t="n">
        <x:v>0</x:v>
      </x:c>
      <x:c r="D4" s="10" t="n">
        <x:v>167.6402482086</x:v>
      </x:c>
      <x:c r="E4" s="10" t="n">
        <x:v>0.7030414316</x:v>
      </x:c>
      <x:c r="F4" s="10" t="n">
        <x:v>65</x:v>
      </x:c>
      <x:c r="G4" s="10" t="n">
        <x:v>9943.021474165</x:v>
      </x:c>
      <x:c r="H4" s="10" t="n">
        <x:v>67.3048970885</x:v>
      </x:c>
      <x:c r="I4" s="10" t="n">
        <x:v>22</x:v>
      </x:c>
    </x:row>
    <x:row r="5" ht="23" customHeight="1">
      <x:c r="A5" s="7" t="str">
        <x:v>energy</x:v>
      </x:c>
      <x:c r="B5" s="11" t="n">
        <x:v>0</x:v>
      </x:c>
      <x:c r="C5" s="11" t="n">
        <x:v>0</x:v>
      </x:c>
      <x:c r="D5" s="11" t="n">
        <x:v>144.0532037023</x:v>
      </x:c>
      <x:c r="E5" s="11" t="n">
        <x:v>0.7731527167</x:v>
      </x:c>
      <x:c r="F5" s="11" t="n">
        <x:v>69</x:v>
      </x:c>
      <x:c r="G5" s="11" t="n">
        <x:v>10715.5853993969</x:v>
      </x:c>
      <x:c r="H5" s="11" t="n">
        <x:v>60.940670617</x:v>
      </x:c>
      <x:c r="I5" s="11" t="n">
        <x:v>17</x:v>
      </x:c>
    </x:row>
    <x:row r="6" ht="23" customHeight="1">
      <x:c r="A6" s="2" t="str">
        <x:v>trips</x:v>
      </x:c>
      <x:c r="B6" s="10" t="n">
        <x:v>0</x:v>
      </x:c>
      <x:c r="C6" s="10" t="n">
        <x:v>0</x:v>
      </x:c>
      <x:c r="D6" s="10" t="n">
        <x:v>144.0532037023</x:v>
      </x:c>
      <x:c r="E6" s="10" t="n">
        <x:v>0.7731527167</x:v>
      </x:c>
      <x:c r="F6" s="10" t="n">
        <x:v>69</x:v>
      </x:c>
      <x:c r="G6" s="10" t="n">
        <x:v>10715.5853993969</x:v>
      </x:c>
      <x:c r="H6" s="10" t="n">
        <x:v>60.940670617</x:v>
      </x:c>
      <x:c r="I6" s="10" t="n">
        <x:v>17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BB5AE"/>
  </x:sheetPr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8" customHeight="1">
      <x:c r="A1" s="6" t="str">
        <x:v>项目</x:v>
      </x:c>
      <x:c r="B1" s="6" t="str">
        <x:v>说明</x:v>
      </x:c>
    </x:row>
    <x:row r="2" ht="48" customHeight="1">
      <x:c r="A2" s="2" t="str">
        <x:v>任务时钟</x:v>
      </x:c>
      <x:c r="B2" s="14" t="str">
        <x:v>从准备开始计时；交付时刻为服务区完成基础交接和逐箱交接的时刻；完成时间取最后一个架次返回O01的时刻。</x:v>
      </x:c>
    </x:row>
    <x:row r="3" ht="48" customHeight="1">
      <x:c r="A3" s="7" t="str">
        <x:v>路线范围</x:v>
      </x:c>
      <x:c r="B3" s="15" t="str">
        <x:v>单个架次最多访问3个服务区；货箱不可拆分且只交付一次。</x:v>
      </x:c>
    </x:row>
    <x:row r="4" ht="48" customHeight="1">
      <x:c r="A4" s="2" t="str">
        <x:v>能耗模型</x:v>
      </x:c>
      <x:c r="B4" s="14" t="str">
        <x:v>逐航段按剩余载荷计算水平能耗与正爬升势能；下降附加能耗取0；返航SOC不低于20%。</x:v>
      </x:c>
    </x:row>
    <x:row r="5" ht="48" customHeight="1">
      <x:c r="A5" s="7" t="str">
        <x:v>硬约束</x:v>
      </x:c>
      <x:c r="B5" s="15" t="str">
        <x:v>医疗物资期望时间和首批保障截止时间均作为硬时限；其余期望时间进入及时性指标。</x:v>
      </x:c>
    </x:row>
    <x:row r="6" ht="48" customHeight="1">
      <x:c r="A6" s="2" t="str">
        <x:v>及时性</x:v>
      </x:c>
      <x:c r="B6" s="14" t="str">
        <x:v>加权迟到为 priority×max(0,C-d)/d 之和；加权交付比例为 priority×C/d 的加权平均。两者均越小越好。</x:v>
      </x:c>
    </x:row>
    <x:row r="7" ht="48" customHeight="1">
      <x:c r="A7" s="7" t="str">
        <x:v>资源</x:v>
      </x:c>
      <x:c r="B7" s="15" t="str">
        <x:v>8架运输无人机；A/B/C型电池6/4/4组，含初始装机电池；同型电池共享，返航后按实际SOC充至100%才能复用。</x:v>
      </x:c>
    </x:row>
    <x:row r="8" ht="48" customHeight="1">
      <x:c r="A8" s="2" t="str">
        <x:v>求解</x:v>
      </x:c>
      <x:c r="B8" s="14" t="str">
        <x:v>路线合并束搜索 + 多机型路线枚举 + 离散事件资源调度 + 交换/插入邻域搜索。</x:v>
      </x:c>
    </x:row>
    <x:row r="9" ht="48" customHeight="1">
      <x:c r="A9" s="7" t="str">
        <x:v>最优性边界</x:v>
      </x:c>
      <x:c r="B9" s="15" t="str">
        <x:v>17架次是本次搜索得到的硬时限可行最少架次数；启发式求解不构成全局最优证明。</x:v>
      </x:c>
    </x:row>
    <x:row r="10" ht="48" customHeight="1">
      <x:c r="A10" s="2" t="str">
        <x:v>复核</x:v>
      </x:c>
      <x:c r="B10" s="14" t="str">
        <x:v>独立脚本复算96项，失败0项；包括逐航段时刻、能耗、箱覆盖、资源互斥和电池充电。</x:v>
      </x:c>
    </x:row>
  </x:sheetData>
  <x:pageMargins left="0.7" right="0.7" top="0.75" bottom="0.75" header="0.3" footer="0.3"/>
</x:worksheet>
</file>